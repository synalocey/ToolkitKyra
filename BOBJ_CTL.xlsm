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f2c065205a5b3ee/Github/ToolkitKyra/examples/"/>
    </mc:Choice>
  </mc:AlternateContent>
  <xr:revisionPtr revIDLastSave="23" documentId="8_{86A24A33-5964-4AD1-AE78-122ABD793ED3}" xr6:coauthVersionLast="47" xr6:coauthVersionMax="47" xr10:uidLastSave="{352A93D6-C57D-4681-8892-B171EC4EAF59}"/>
  <bookViews>
    <workbookView xWindow="-103" yWindow="-103" windowWidth="33120" windowHeight="18000" firstSheet="2" activeTab="2" xr2:uid="{00000000-000D-0000-FFFF-FFFF00000000}"/>
  </bookViews>
  <sheets>
    <sheet name="_com.sap.ip.bi.xl.hiddensheet" sheetId="3" state="veryHidden" r:id="rId1"/>
    <sheet name="Reviewed CTL Archive" sheetId="24" state="hidden" r:id="rId2"/>
    <sheet name="CTL BOBJ" sheetId="15" r:id="rId3"/>
    <sheet name="Lookup" sheetId="17" state="hidden" r:id="rId4"/>
  </sheets>
  <definedNames>
    <definedName name="_xlnm._FilterDatabase" localSheetId="2" hidden="1">'CTL BOBJ'!$A$1:$AR$12896</definedName>
    <definedName name="_xlnm._FilterDatabase" localSheetId="1" hidden="1">'Reviewed CTL Archive'!$A$1:$Q$2553</definedName>
    <definedName name="SAPCrosstab1">'CTL BOBJ'!$A$1:$AR$12896</definedName>
  </definedNames>
  <calcPr calcId="191029" concurrentManualCount="8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<sst xmlns="http://schemas.openxmlformats.org/spreadsheetml/2006/main" count="247" uniqueCount="134">
  <si>
    <t>Customer</t>
  </si>
  <si>
    <t>FID</t>
  </si>
  <si>
    <t>Samsung</t>
  </si>
  <si>
    <t>Micron</t>
  </si>
  <si>
    <t>Sony</t>
  </si>
  <si>
    <t>TSMC</t>
  </si>
  <si>
    <t>Intel</t>
  </si>
  <si>
    <t>GF</t>
  </si>
  <si>
    <t>Winbond</t>
  </si>
  <si>
    <t>Toshiba</t>
  </si>
  <si>
    <t>Huali</t>
  </si>
  <si>
    <t>UMC</t>
  </si>
  <si>
    <t>Nanya</t>
  </si>
  <si>
    <t>SMIC</t>
  </si>
  <si>
    <t>TI</t>
  </si>
  <si>
    <t>MXIC</t>
  </si>
  <si>
    <t>Yangtze Memory Tech</t>
  </si>
  <si>
    <t>Innotron</t>
  </si>
  <si>
    <t>Huaian Imag Dev Mfg</t>
  </si>
  <si>
    <t>Jiangsu Adv Memory</t>
  </si>
  <si>
    <t>Rev Code</t>
  </si>
  <si>
    <t>Eval</t>
  </si>
  <si>
    <t>CTL ID</t>
  </si>
  <si>
    <t>Change Cat</t>
  </si>
  <si>
    <t>Reason for Chg</t>
  </si>
  <si>
    <t>Status</t>
  </si>
  <si>
    <t>Customer group 2</t>
  </si>
  <si>
    <t>Commit: Sales Ops</t>
  </si>
  <si>
    <t>Change Summary</t>
  </si>
  <si>
    <t>Root Cause</t>
  </si>
  <si>
    <t>Fab Name</t>
  </si>
  <si>
    <t>System Description</t>
  </si>
  <si>
    <t>Bus Unit</t>
  </si>
  <si>
    <t>Push</t>
  </si>
  <si>
    <t>Pull</t>
  </si>
  <si>
    <t>Sub Reason</t>
  </si>
  <si>
    <t>Config</t>
  </si>
  <si>
    <t>Drop</t>
  </si>
  <si>
    <t>Quarter</t>
  </si>
  <si>
    <t>Start Date</t>
  </si>
  <si>
    <t>End Date</t>
  </si>
  <si>
    <t>Week</t>
  </si>
  <si>
    <t>QDec17</t>
  </si>
  <si>
    <t>QMar18</t>
  </si>
  <si>
    <t>QJun18</t>
  </si>
  <si>
    <t>Cust Expedite</t>
  </si>
  <si>
    <t>POA</t>
  </si>
  <si>
    <t>BU</t>
  </si>
  <si>
    <t>QSep18</t>
  </si>
  <si>
    <t>Owner</t>
  </si>
  <si>
    <t>Justification</t>
  </si>
  <si>
    <t>Uli Weinmann</t>
  </si>
  <si>
    <t>Anthony Chan</t>
  </si>
  <si>
    <t>Kayne Matsushima</t>
  </si>
  <si>
    <t>Jaebum Yu</t>
  </si>
  <si>
    <t>Sys Desc</t>
  </si>
  <si>
    <t>QDec18</t>
  </si>
  <si>
    <t>Owner (Lookup)</t>
  </si>
  <si>
    <t>Anh Man Tran</t>
  </si>
  <si>
    <t>SK Hynix</t>
  </si>
  <si>
    <t>NexChip</t>
  </si>
  <si>
    <t>No Mat Chg</t>
  </si>
  <si>
    <t>Moxtek</t>
  </si>
  <si>
    <t>GOPs Chg</t>
  </si>
  <si>
    <t>Fab Chg</t>
  </si>
  <si>
    <t>Cfg Error</t>
  </si>
  <si>
    <t>Cust Cfg Chg</t>
  </si>
  <si>
    <t>Budget</t>
  </si>
  <si>
    <t>No Capacity</t>
  </si>
  <si>
    <t>RCCA ID</t>
  </si>
  <si>
    <t>All</t>
  </si>
  <si>
    <t>SSD Only</t>
  </si>
  <si>
    <t>Cust Delay</t>
  </si>
  <si>
    <t>Rev Code change so FID is Dropped</t>
  </si>
  <si>
    <t>Lost Market Share in Application</t>
  </si>
  <si>
    <t>Customer does not have Capacity to take Shipment</t>
  </si>
  <si>
    <t>Config needed to be changed due to an error that could have been caught</t>
  </si>
  <si>
    <t>Shipment will be delivered to a different fab</t>
  </si>
  <si>
    <t>Customer changed Config</t>
  </si>
  <si>
    <t>MCSD Align</t>
  </si>
  <si>
    <t>Delivery change only. Push within 2 weeks</t>
  </si>
  <si>
    <t>Delivery change only. Push over 2 weeks</t>
  </si>
  <si>
    <t>CRD/SRD moved to align with MCSD</t>
  </si>
  <si>
    <t>Change doesn't impact Mfg. (Ex. software, doc changes)</t>
  </si>
  <si>
    <t>Change is required due to POA action that affected shipment</t>
  </si>
  <si>
    <t>Change was driven by GOPs. (Ex. Build Plan Linearization)</t>
  </si>
  <si>
    <t>Pull in requested by Customer</t>
  </si>
  <si>
    <t>Customer does not have budget for the Shipment</t>
  </si>
  <si>
    <t>Mat Sub</t>
  </si>
  <si>
    <t>Changing Material/Config Due to Material Availablility</t>
  </si>
  <si>
    <t> Product Group driven/requested change</t>
  </si>
  <si>
    <t>Any FID classified as Eval</t>
  </si>
  <si>
    <r>
      <t xml:space="preserve">Reassigning a </t>
    </r>
    <r>
      <rPr>
        <b/>
        <sz val="11"/>
        <color theme="1"/>
        <rFont val="Calibri"/>
        <family val="2"/>
        <scheme val="minor"/>
      </rPr>
      <t>portion</t>
    </r>
    <r>
      <rPr>
        <sz val="11"/>
        <color theme="1"/>
        <rFont val="Calibri"/>
        <family val="2"/>
        <scheme val="minor"/>
      </rPr>
      <t xml:space="preserve"> of the Shipment to another FID</t>
    </r>
  </si>
  <si>
    <r>
      <t xml:space="preserve">Reassigning </t>
    </r>
    <r>
      <rPr>
        <b/>
        <sz val="11"/>
        <color theme="1"/>
        <rFont val="Calibri"/>
        <family val="2"/>
        <scheme val="minor"/>
      </rPr>
      <t>all</t>
    </r>
    <r>
      <rPr>
        <sz val="11"/>
        <color theme="1"/>
        <rFont val="Calibri"/>
        <family val="2"/>
        <scheme val="minor"/>
      </rPr>
      <t xml:space="preserve"> Material of the Shipment to another FID</t>
    </r>
  </si>
  <si>
    <t>Partial Reuse</t>
  </si>
  <si>
    <t>Full Reuse</t>
  </si>
  <si>
    <t>Product Grp</t>
  </si>
  <si>
    <t>Change was driven by the Product Group (Ex. Tech Memo)</t>
  </si>
  <si>
    <t>Mkt Share</t>
  </si>
  <si>
    <t>Pull in requested by Sales Ops</t>
  </si>
  <si>
    <t>SOps Expedite (Ship/Rev Pull in)</t>
  </si>
  <si>
    <t>1st SOps Appr Dt</t>
  </si>
  <si>
    <t>Material?</t>
  </si>
  <si>
    <t>Creation Date</t>
  </si>
  <si>
    <t>Mgmt Region</t>
  </si>
  <si>
    <t>Config Frz@Current</t>
  </si>
  <si>
    <t>CF Date @SOPS App</t>
  </si>
  <si>
    <t>LPR: Factory</t>
  </si>
  <si>
    <t>Daniel Yoo</t>
  </si>
  <si>
    <t>Opportunity ID</t>
  </si>
  <si>
    <t>QMar19</t>
  </si>
  <si>
    <t>QJun19</t>
  </si>
  <si>
    <t>Stage</t>
  </si>
  <si>
    <t>Created By</t>
  </si>
  <si>
    <t>Gap Category</t>
  </si>
  <si>
    <t/>
  </si>
  <si>
    <t>ILT Approval</t>
  </si>
  <si>
    <t>Impact to GOPs</t>
  </si>
  <si>
    <t>Change Impact Weighting</t>
  </si>
  <si>
    <t>Back Order Accept</t>
  </si>
  <si>
    <t>Back Order Need Dt</t>
  </si>
  <si>
    <t>Date: MCSD Publish</t>
  </si>
  <si>
    <t>Quote ID</t>
  </si>
  <si>
    <t>Sales OPs Approver</t>
  </si>
  <si>
    <t>CRD @ Current</t>
  </si>
  <si>
    <t>MCSD @ Current</t>
  </si>
  <si>
    <t>TSD @ Current</t>
  </si>
  <si>
    <t>TSD @ SOPs Approval</t>
  </si>
  <si>
    <t>SRD @ Current</t>
  </si>
  <si>
    <t>Launch Date@SOPS App</t>
  </si>
  <si>
    <t>SRD @ SOPs Approval</t>
  </si>
  <si>
    <t>MCSD At SOps Approval</t>
  </si>
  <si>
    <t>MCSD@Create</t>
  </si>
  <si>
    <t>RD At Create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</si>
</sst>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###,000"/>
    <numFmt numFmtId="167" formatCode="m/d/yyyy* "/>
  </numFmts>
  <fonts count="41">
    <font>
      <sz val="11"/>
      <color theme="1"/>
      <name val="Calibri"/>
      <family val="2"/>
      <scheme val="minor"/>
    </font>
    <font>
      <b/>
      <sz val="8"/>
      <color rgb="FF1F497D"/>
      <name val="Verdana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i/>
      <sz val="8"/>
      <color rgb="FF1F497D"/>
      <name val="Verdana"/>
      <family val="2"/>
    </font>
    <font>
      <i/>
      <sz val="8"/>
      <color rgb="FF1F497D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8"/>
      <color rgb="FFDBE5F1"/>
      <name val="Verdana"/>
      <family val="2"/>
    </font>
    <font>
      <sz val="11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theme="0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BE5F2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DBE5F1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  <bgColor rgb="FFFFFFFF"/>
      </patternFill>
    </fill>
    <fill>
      <patternFill patternType="solid">
        <fgColor theme="4" tint="0.39994506668294322"/>
        <bgColor rgb="FF000000"/>
      </patternFill>
    </fill>
    <fill>
      <patternFill patternType="solid">
        <fgColor indexed="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4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333F4F"/>
      </left>
      <right style="thin">
        <color rgb="FF333F4F"/>
      </right>
      <top style="thin">
        <color rgb="FF333F4F"/>
      </top>
      <bottom style="thin">
        <color rgb="FF333F4F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3" tint="-0.24994659260841701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theme="3" tint="0.59996337778862885"/>
      </left>
      <right style="thin">
        <color theme="3" tint="-0.24994659260841701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39994506668294322"/>
      </left>
      <right style="thin">
        <color theme="3" tint="-0.24994659260841701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0.79998168889431442"/>
      </top>
      <bottom/>
      <diagonal/>
    </border>
    <border>
      <left/>
      <right/>
      <top/>
      <bottom style="medium">
        <color rgb="FFD9E1F2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0.39994506668294322"/>
      </right>
      <top style="thin">
        <color theme="3" tint="0.39994506668294322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-0.24994659260841701"/>
      </right>
      <top style="thin">
        <color theme="3" tint="0.59996337778862885"/>
      </top>
      <bottom style="thin">
        <color theme="3" tint="-0.24994659260841701"/>
      </bottom>
      <diagonal/>
    </border>
    <border>
      <left style="thin">
        <color theme="3" tint="0.39994506668294322"/>
      </left>
      <right style="thin">
        <color theme="3" tint="-0.24994659260841701"/>
      </right>
      <top style="thin">
        <color theme="3" tint="0.39994506668294322"/>
      </top>
      <bottom style="thin">
        <color theme="3" tint="-0.24994659260841701"/>
      </bottom>
      <diagonal/>
    </border>
    <border>
      <left style="thin">
        <color theme="3" tint="0.39994506668294322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</borders>
  <cellStyleXfs count="878">
    <xf numFmtId="0" fontId="0" fillId="0" borderId="0"/>
    <xf numFmtId="0" fontId="1" fillId="2" borderId="1" applyNumberFormat="0" applyAlignment="0" applyProtection="0">
      <alignment horizontal="left" vertical="center" indent="1"/>
    </xf>
    <xf numFmtId="166" fontId="2" fillId="0" borderId="2" applyNumberFormat="0" applyProtection="0">
      <alignment horizontal="right" vertical="center"/>
    </xf>
    <xf numFmtId="166" fontId="1" fillId="0" borderId="3" applyNumberFormat="0" applyProtection="0">
      <alignment horizontal="right" vertical="center"/>
    </xf>
    <xf numFmtId="0" fontId="3" fillId="3" borderId="4" applyNumberFormat="0" applyAlignment="0" applyProtection="0">
      <alignment horizontal="left" vertical="center" indent="1"/>
    </xf>
    <xf numFmtId="0" fontId="3" fillId="2" borderId="4" applyNumberFormat="0" applyAlignment="0" applyProtection="0">
      <alignment horizontal="left" vertical="center" indent="1"/>
    </xf>
    <xf numFmtId="166" fontId="2" fillId="4" borderId="2" applyNumberFormat="0" applyBorder="0" applyProtection="0">
      <alignment horizontal="right" vertical="center"/>
    </xf>
    <xf numFmtId="0" fontId="3" fillId="5" borderId="3" applyNumberFormat="0" applyAlignment="0" applyProtection="0">
      <alignment horizontal="left" vertical="center" indent="1"/>
    </xf>
    <xf numFmtId="166" fontId="1" fillId="6" borderId="4" applyNumberFormat="0" applyProtection="0">
      <alignment horizontal="right" vertical="center"/>
    </xf>
    <xf numFmtId="166" fontId="1" fillId="4" borderId="3" applyNumberFormat="0" applyBorder="0" applyProtection="0">
      <alignment horizontal="right" vertical="center"/>
    </xf>
    <xf numFmtId="166" fontId="4" fillId="7" borderId="5" applyNumberFormat="0" applyBorder="0" applyAlignment="0" applyProtection="0">
      <alignment horizontal="right" vertical="center" indent="1"/>
    </xf>
    <xf numFmtId="166" fontId="5" fillId="8" borderId="5" applyNumberFormat="0" applyBorder="0" applyAlignment="0" applyProtection="0">
      <alignment horizontal="right" vertical="center" indent="1"/>
    </xf>
    <xf numFmtId="166" fontId="5" fillId="9" borderId="5" applyNumberFormat="0" applyBorder="0" applyAlignment="0" applyProtection="0">
      <alignment horizontal="right" vertical="center" indent="1"/>
    </xf>
    <xf numFmtId="166" fontId="6" fillId="10" borderId="5" applyNumberFormat="0" applyBorder="0" applyAlignment="0" applyProtection="0">
      <alignment horizontal="right" vertical="center" indent="1"/>
    </xf>
    <xf numFmtId="166" fontId="6" fillId="11" borderId="5" applyNumberFormat="0" applyBorder="0" applyAlignment="0" applyProtection="0">
      <alignment horizontal="right" vertical="center" indent="1"/>
    </xf>
    <xf numFmtId="166" fontId="6" fillId="12" borderId="5" applyNumberFormat="0" applyBorder="0" applyAlignment="0" applyProtection="0">
      <alignment horizontal="right" vertical="center" indent="1"/>
    </xf>
    <xf numFmtId="166" fontId="7" fillId="13" borderId="5" applyNumberFormat="0" applyBorder="0" applyAlignment="0" applyProtection="0">
      <alignment horizontal="right" vertical="center" indent="1"/>
    </xf>
    <xf numFmtId="166" fontId="7" fillId="14" borderId="5" applyNumberFormat="0" applyBorder="0" applyAlignment="0" applyProtection="0">
      <alignment horizontal="right" vertical="center" indent="1"/>
    </xf>
    <xf numFmtId="166" fontId="7" fillId="15" borderId="5" applyNumberFormat="0" applyBorder="0" applyAlignment="0" applyProtection="0">
      <alignment horizontal="right" vertical="center" indent="1"/>
    </xf>
    <xf numFmtId="0" fontId="8" fillId="0" borderId="1" applyNumberFormat="0" applyFont="0" applyFill="0" applyAlignment="0" applyProtection="0"/>
    <xf numFmtId="166" fontId="2" fillId="16" borderId="4" applyNumberFormat="0" applyProtection="0">
      <alignment horizontal="left" vertical="center" wrapText="1" indent="1"/>
    </xf>
    <xf numFmtId="0" fontId="1" fillId="6" borderId="4" applyNumberFormat="0" applyAlignment="0" applyProtection="0">
      <alignment horizontal="left" vertical="center" indent="1"/>
    </xf>
    <xf numFmtId="0" fontId="3" fillId="17" borderId="1" applyNumberFormat="0" applyAlignment="0" applyProtection="0">
      <alignment horizontal="left" vertical="center" indent="1"/>
    </xf>
    <xf numFmtId="0" fontId="3" fillId="18" borderId="1" applyNumberFormat="0" applyAlignment="0" applyProtection="0">
      <alignment horizontal="left" vertical="center" indent="1"/>
    </xf>
    <xf numFmtId="0" fontId="3" fillId="19" borderId="1" applyNumberFormat="0" applyAlignment="0" applyProtection="0">
      <alignment horizontal="left" vertical="center" indent="1"/>
    </xf>
    <xf numFmtId="0" fontId="3" fillId="4" borderId="1" applyNumberFormat="0" applyAlignment="0" applyProtection="0">
      <alignment horizontal="left" vertical="center" indent="1"/>
    </xf>
    <xf numFmtId="0" fontId="3" fillId="20" borderId="3" applyNumberFormat="0" applyAlignment="0" applyProtection="0">
      <alignment horizontal="left" vertical="center" indent="1"/>
    </xf>
    <xf numFmtId="0" fontId="9" fillId="0" borderId="6" applyNumberFormat="0" applyFill="0" applyBorder="0" applyAlignment="0" applyProtection="0"/>
    <xf numFmtId="0" fontId="10" fillId="0" borderId="6" applyBorder="0" applyAlignment="0" applyProtection="0"/>
    <xf numFmtId="0" fontId="9" fillId="5" borderId="3" applyNumberFormat="0" applyAlignment="0" applyProtection="0">
      <alignment horizontal="left" vertical="center" indent="1"/>
    </xf>
    <xf numFmtId="0" fontId="9" fillId="5" borderId="3" applyNumberFormat="0" applyAlignment="0" applyProtection="0">
      <alignment horizontal="left" vertical="center" indent="1"/>
    </xf>
    <xf numFmtId="0" fontId="9" fillId="20" borderId="3" applyNumberFormat="0" applyAlignment="0" applyProtection="0">
      <alignment horizontal="left" vertical="center" indent="1"/>
    </xf>
    <xf numFmtId="166" fontId="11" fillId="20" borderId="3" applyNumberFormat="0" applyProtection="0">
      <alignment horizontal="right" vertical="center"/>
    </xf>
    <xf numFmtId="166" fontId="12" fillId="4" borderId="2" applyNumberFormat="0" applyBorder="0" applyProtection="0">
      <alignment horizontal="right" vertical="center"/>
    </xf>
    <xf numFmtId="166" fontId="11" fillId="4" borderId="3" applyNumberFormat="0" applyBorder="0" applyProtection="0">
      <alignment horizontal="right" vertical="center"/>
    </xf>
    <xf numFmtId="166" fontId="2" fillId="21" borderId="1" applyNumberFormat="0" applyAlignment="0" applyProtection="0">
      <alignment horizontal="left" vertical="center" indent="1"/>
    </xf>
    <xf numFmtId="0" fontId="14" fillId="0" borderId="0"/>
    <xf numFmtId="0" fontId="1" fillId="22" borderId="1" applyNumberFormat="0" applyAlignment="0" applyProtection="0">
      <alignment horizontal="left" vertical="center" indent="1"/>
    </xf>
    <xf numFmtId="0" fontId="3" fillId="5" borderId="3" applyNumberFormat="0" applyAlignment="0" applyProtection="0">
      <alignment horizontal="left" vertical="center" indent="1"/>
    </xf>
    <xf numFmtId="0" fontId="3" fillId="20" borderId="3" applyNumberFormat="0" applyAlignment="0" applyProtection="0">
      <alignment horizontal="left" vertical="center" indent="1"/>
    </xf>
    <xf numFmtId="166" fontId="1" fillId="20" borderId="3" applyNumberFormat="0" applyProtection="0">
      <alignment horizontal="right" vertical="center"/>
    </xf>
    <xf numFmtId="166" fontId="2" fillId="21" borderId="1" applyNumberFormat="0" applyAlignment="0" applyProtection="0">
      <alignment horizontal="left" vertical="center" indent="1"/>
    </xf>
    <xf numFmtId="0" fontId="1" fillId="22" borderId="3" applyNumberFormat="0" applyAlignment="0" applyProtection="0">
      <alignment horizontal="left" vertical="center" indent="1"/>
    </xf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7" fillId="0" borderId="10" applyNumberFormat="0" applyFill="0" applyAlignment="0" applyProtection="0"/>
    <xf numFmtId="0" fontId="17" fillId="0" borderId="0" applyNumberFormat="0" applyFill="0" applyBorder="0" applyAlignment="0" applyProtection="0"/>
    <xf numFmtId="0" fontId="18" fillId="24" borderId="0" applyNumberFormat="0" applyBorder="0" applyAlignment="0" applyProtection="0"/>
    <xf numFmtId="0" fontId="19" fillId="25" borderId="0" applyNumberFormat="0" applyBorder="0" applyAlignment="0" applyProtection="0"/>
    <xf numFmtId="0" fontId="20" fillId="27" borderId="11" applyNumberFormat="0" applyAlignment="0" applyProtection="0"/>
    <xf numFmtId="0" fontId="21" fillId="28" borderId="12" applyNumberFormat="0" applyAlignment="0" applyProtection="0"/>
    <xf numFmtId="0" fontId="22" fillId="28" borderId="11" applyNumberFormat="0" applyAlignment="0" applyProtection="0"/>
    <xf numFmtId="0" fontId="23" fillId="0" borderId="13" applyNumberFormat="0" applyFill="0" applyAlignment="0" applyProtection="0"/>
    <xf numFmtId="0" fontId="24" fillId="29" borderId="14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16" applyNumberFormat="0" applyFill="0" applyAlignment="0" applyProtection="0"/>
    <xf numFmtId="0" fontId="28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8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8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8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28" fillId="47" borderId="0" applyNumberFormat="0" applyBorder="0" applyAlignment="0" applyProtection="0"/>
    <xf numFmtId="0" fontId="13" fillId="48" borderId="0" applyNumberFormat="0" applyBorder="0" applyAlignment="0" applyProtection="0"/>
    <xf numFmtId="0" fontId="13" fillId="49" borderId="0" applyNumberFormat="0" applyBorder="0" applyAlignment="0" applyProtection="0"/>
    <xf numFmtId="0" fontId="28" fillId="51" borderId="0" applyNumberFormat="0" applyBorder="0" applyAlignment="0" applyProtection="0"/>
    <xf numFmtId="0" fontId="13" fillId="52" borderId="0" applyNumberFormat="0" applyBorder="0" applyAlignment="0" applyProtection="0"/>
    <xf numFmtId="0" fontId="13" fillId="53" borderId="0" applyNumberFormat="0" applyBorder="0" applyAlignment="0" applyProtection="0"/>
    <xf numFmtId="0" fontId="19" fillId="55" borderId="0" applyNumberFormat="0" applyBorder="0" applyAlignment="0" applyProtection="0"/>
    <xf numFmtId="0" fontId="31" fillId="0" borderId="0"/>
    <xf numFmtId="0" fontId="31" fillId="0" borderId="0"/>
    <xf numFmtId="166" fontId="2" fillId="16" borderId="4" applyNumberFormat="0" applyProtection="0">
      <alignment horizontal="left" vertical="center" wrapText="1" indent="1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64" fontId="31" fillId="0" borderId="0" applyFon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>
      <alignment vertical="center"/>
    </xf>
    <xf numFmtId="0" fontId="31" fillId="0" borderId="0" applyNumberFormat="0" applyFill="0" applyBorder="0" applyAlignment="0" applyProtection="0"/>
    <xf numFmtId="0" fontId="1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64" fontId="3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164" fontId="31" fillId="0" borderId="0" applyFont="0" applyFill="0" applyBorder="0" applyAlignment="0" applyProtection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31" fillId="0" borderId="0"/>
    <xf numFmtId="164" fontId="13" fillId="0" borderId="0" applyFont="0" applyFill="0" applyBorder="0" applyAlignment="0" applyProtection="0"/>
    <xf numFmtId="0" fontId="30" fillId="0" borderId="17" applyNumberFormat="0" applyAlignment="0" applyProtection="0">
      <alignment horizontal="left" vertical="center"/>
    </xf>
    <xf numFmtId="0" fontId="30" fillId="0" borderId="18">
      <alignment horizontal="left" vertic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1" fillId="0" borderId="0" applyNumberFormat="0" applyFill="0" applyBorder="0" applyAlignment="0" applyProtection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9" fillId="0" borderId="0"/>
    <xf numFmtId="0" fontId="13" fillId="0" borderId="0"/>
    <xf numFmtId="0" fontId="13" fillId="0" borderId="0"/>
    <xf numFmtId="0" fontId="31" fillId="0" borderId="0" applyNumberFormat="0" applyFill="0" applyBorder="0" applyAlignment="0" applyProtection="0"/>
    <xf numFmtId="0" fontId="1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34" fillId="0" borderId="0" applyNumberFormat="0" applyFill="0" applyBorder="0" applyAlignment="0" applyProtection="0">
      <alignment vertical="top"/>
      <protection locked="0"/>
    </xf>
    <xf numFmtId="0" fontId="31" fillId="0" borderId="0" applyNumberFormat="0" applyFill="0" applyBorder="0" applyAlignment="0" applyProtection="0"/>
    <xf numFmtId="164" fontId="31" fillId="0" borderId="0" applyFon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31" fillId="0" borderId="0" applyFont="0" applyFill="0" applyBorder="0" applyAlignment="0" applyProtection="0"/>
    <xf numFmtId="0" fontId="13" fillId="0" borderId="0"/>
    <xf numFmtId="0" fontId="13" fillId="0" borderId="0"/>
    <xf numFmtId="0" fontId="31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31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13" fillId="0" borderId="0"/>
    <xf numFmtId="0" fontId="31" fillId="0" borderId="0" applyNumberFormat="0" applyFill="0" applyBorder="0" applyAlignment="0" applyProtection="0"/>
    <xf numFmtId="164" fontId="31" fillId="0" borderId="0" applyFont="0" applyFill="0" applyBorder="0" applyAlignment="0" applyProtection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31" fillId="0" borderId="0" applyNumberForma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" fillId="56" borderId="1" applyNumberFormat="0" applyAlignment="0" applyProtection="0">
      <alignment horizontal="left" vertical="center" indent="1"/>
    </xf>
    <xf numFmtId="0" fontId="3" fillId="3" borderId="4">
      <alignment horizontal="right" vertical="center"/>
    </xf>
    <xf numFmtId="0" fontId="3" fillId="17" borderId="1" applyNumberFormat="0" applyAlignment="0" applyProtection="0">
      <alignment horizontal="left" vertical="center" indent="1"/>
    </xf>
    <xf numFmtId="0" fontId="30" fillId="0" borderId="18">
      <alignment horizontal="left" vertical="center"/>
    </xf>
    <xf numFmtId="0" fontId="13" fillId="0" borderId="0"/>
    <xf numFmtId="0" fontId="31" fillId="0" borderId="0"/>
    <xf numFmtId="0" fontId="31" fillId="0" borderId="0"/>
    <xf numFmtId="0" fontId="3" fillId="5" borderId="3" applyNumberFormat="0" applyAlignment="0">
      <alignment horizontal="left" vertical="center" indent="1"/>
      <protection locked="0"/>
    </xf>
    <xf numFmtId="166" fontId="2" fillId="4" borderId="2" applyNumberFormat="0" applyBorder="0">
      <alignment horizontal="right" vertical="center"/>
      <protection locked="0"/>
    </xf>
    <xf numFmtId="0" fontId="3" fillId="5" borderId="3" applyNumberFormat="0" applyAlignment="0">
      <alignment horizontal="left" vertical="center" indent="1"/>
      <protection locked="0"/>
    </xf>
    <xf numFmtId="166" fontId="1" fillId="4" borderId="3" applyNumberFormat="0" applyBorder="0">
      <alignment horizontal="right" vertical="center"/>
      <protection locked="0"/>
    </xf>
    <xf numFmtId="0" fontId="10" fillId="0" borderId="6" applyNumberFormat="0" applyBorder="0" applyAlignment="0" applyProtection="0"/>
    <xf numFmtId="0" fontId="9" fillId="5" borderId="3" applyNumberFormat="0" applyAlignment="0">
      <alignment horizontal="left" vertical="center" indent="1"/>
      <protection locked="0"/>
    </xf>
    <xf numFmtId="0" fontId="9" fillId="5" borderId="3" applyNumberFormat="0" applyAlignment="0">
      <alignment horizontal="left" vertical="center" indent="1"/>
      <protection locked="0"/>
    </xf>
    <xf numFmtId="166" fontId="12" fillId="4" borderId="2" applyNumberFormat="0" applyBorder="0">
      <alignment horizontal="right" vertical="center"/>
      <protection locked="0"/>
    </xf>
    <xf numFmtId="166" fontId="11" fillId="4" borderId="3" applyNumberFormat="0" applyBorder="0">
      <alignment horizontal="right" vertical="center"/>
      <protection locked="0"/>
    </xf>
    <xf numFmtId="166" fontId="2" fillId="0" borderId="2" applyNumberFormat="0" applyFill="0" applyBorder="0" applyAlignment="0" applyProtection="0">
      <alignment horizontal="right" vertical="center"/>
    </xf>
    <xf numFmtId="166" fontId="2" fillId="0" borderId="2" applyNumberFormat="0" applyFill="0" applyBorder="0" applyAlignment="0" applyProtection="0">
      <alignment horizontal="right" vertical="center"/>
    </xf>
    <xf numFmtId="0" fontId="8" fillId="0" borderId="19" applyNumberFormat="0" applyFont="0" applyFill="0" applyAlignment="0" applyProtection="0"/>
    <xf numFmtId="0" fontId="31" fillId="0" borderId="0"/>
    <xf numFmtId="0" fontId="31" fillId="0" borderId="0"/>
    <xf numFmtId="0" fontId="36" fillId="0" borderId="0"/>
    <xf numFmtId="0" fontId="31" fillId="57" borderId="20" applyNumberFormat="0" applyProtection="0">
      <alignment horizontal="left" vertical="center" indent="1"/>
    </xf>
    <xf numFmtId="165" fontId="31" fillId="0" borderId="0" applyFont="0" applyFill="0" applyBorder="0" applyAlignment="0" applyProtection="0"/>
    <xf numFmtId="0" fontId="31" fillId="57" borderId="20" applyNumberFormat="0" applyProtection="0">
      <alignment horizontal="left" vertical="center" indent="1"/>
    </xf>
    <xf numFmtId="0" fontId="36" fillId="0" borderId="0"/>
    <xf numFmtId="0" fontId="3" fillId="56" borderId="1" applyNumberFormat="0" applyAlignment="0" applyProtection="0">
      <alignment horizontal="left" vertical="center" indent="1"/>
    </xf>
    <xf numFmtId="0" fontId="1" fillId="6" borderId="4" applyNumberFormat="0" applyAlignment="0" applyProtection="0">
      <alignment horizontal="left" vertical="center" indent="1"/>
    </xf>
    <xf numFmtId="0" fontId="3" fillId="17" borderId="1" applyNumberFormat="0" applyAlignment="0" applyProtection="0">
      <alignment horizontal="left" vertical="center" indent="1"/>
    </xf>
    <xf numFmtId="0" fontId="3" fillId="56" borderId="1" applyNumberFormat="0" applyAlignment="0" applyProtection="0">
      <alignment horizontal="left" vertical="center" indent="1"/>
    </xf>
    <xf numFmtId="0" fontId="3" fillId="17" borderId="1" applyNumberFormat="0" applyAlignment="0" applyProtection="0">
      <alignment horizontal="left" vertical="center" indent="1"/>
    </xf>
    <xf numFmtId="0" fontId="36" fillId="0" borderId="0"/>
    <xf numFmtId="0" fontId="31" fillId="57" borderId="20" applyNumberFormat="0" applyProtection="0">
      <alignment horizontal="left" vertical="center" indent="1"/>
    </xf>
    <xf numFmtId="0" fontId="31" fillId="57" borderId="20" applyNumberFormat="0" applyProtection="0">
      <alignment horizontal="left" vertical="center" indent="1"/>
    </xf>
    <xf numFmtId="0" fontId="37" fillId="0" borderId="0" applyNumberFormat="0" applyFill="0" applyBorder="0" applyAlignment="0" applyProtection="0"/>
    <xf numFmtId="0" fontId="38" fillId="26" borderId="0" applyNumberFormat="0" applyBorder="0" applyAlignment="0" applyProtection="0"/>
    <xf numFmtId="0" fontId="28" fillId="34" borderId="0" applyNumberFormat="0" applyBorder="0" applyAlignment="0" applyProtection="0"/>
    <xf numFmtId="0" fontId="28" fillId="38" borderId="0" applyNumberFormat="0" applyBorder="0" applyAlignment="0" applyProtection="0"/>
    <xf numFmtId="0" fontId="28" fillId="42" borderId="0" applyNumberFormat="0" applyBorder="0" applyAlignment="0" applyProtection="0"/>
    <xf numFmtId="0" fontId="28" fillId="46" borderId="0" applyNumberFormat="0" applyBorder="0" applyAlignment="0" applyProtection="0"/>
    <xf numFmtId="0" fontId="28" fillId="50" borderId="0" applyNumberFormat="0" applyBorder="0" applyAlignment="0" applyProtection="0"/>
    <xf numFmtId="0" fontId="28" fillId="54" borderId="0" applyNumberFormat="0" applyBorder="0" applyAlignment="0" applyProtection="0"/>
    <xf numFmtId="0" fontId="13" fillId="30" borderId="15" applyNumberFormat="0" applyFont="0" applyAlignment="0" applyProtection="0"/>
    <xf numFmtId="0" fontId="1" fillId="5" borderId="21" applyNumberFormat="0" applyAlignment="0" applyProtection="0">
      <alignment horizontal="left" vertical="center" indent="1"/>
    </xf>
    <xf numFmtId="0" fontId="31" fillId="0" borderId="0"/>
    <xf numFmtId="0" fontId="31" fillId="0" borderId="0"/>
    <xf numFmtId="0" fontId="31" fillId="0" borderId="0"/>
    <xf numFmtId="0" fontId="31" fillId="0" borderId="0"/>
    <xf numFmtId="166" fontId="39" fillId="21" borderId="0" applyNumberFormat="0" applyAlignment="0" applyProtection="0">
      <alignment horizontal="left" vertical="center" indent="1"/>
    </xf>
    <xf numFmtId="0" fontId="31" fillId="0" borderId="0"/>
    <xf numFmtId="0" fontId="33" fillId="0" borderId="0">
      <alignment vertical="center"/>
    </xf>
    <xf numFmtId="0" fontId="33" fillId="0" borderId="0">
      <alignment vertical="center"/>
    </xf>
  </cellStyleXfs>
  <cellXfs count="66">
    <xf numFmtId="0" fontId="0" fillId="0" borderId="0" xfId="0"/>
    <xf numFmtId="14" fontId="27" fillId="0" borderId="7" xfId="0" applyNumberFormat="1" applyFont="1" applyBorder="1" applyAlignment="1">
      <alignment horizontal="center"/>
    </xf>
    <xf numFmtId="14" fontId="0" fillId="0" borderId="0" xfId="0" applyNumberFormat="1"/>
    <xf numFmtId="0" fontId="0" fillId="0" borderId="7" xfId="0" applyBorder="1"/>
    <xf numFmtId="0" fontId="27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14" fontId="0" fillId="0" borderId="7" xfId="0" applyNumberFormat="1" applyBorder="1"/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0" fontId="27" fillId="23" borderId="7" xfId="0" applyFont="1" applyFill="1" applyBorder="1" applyAlignment="1">
      <alignment horizontal="center"/>
    </xf>
    <xf numFmtId="0" fontId="27" fillId="58" borderId="7" xfId="0" applyFont="1" applyFill="1" applyBorder="1" applyAlignment="1">
      <alignment horizontal="center"/>
    </xf>
    <xf numFmtId="0" fontId="0" fillId="0" borderId="22" xfId="0" applyBorder="1"/>
    <xf numFmtId="0" fontId="27" fillId="23" borderId="23" xfId="0" applyFont="1" applyFill="1" applyBorder="1" applyAlignment="1">
      <alignment horizontal="center"/>
    </xf>
    <xf numFmtId="0" fontId="27" fillId="23" borderId="24" xfId="0" applyFont="1" applyFill="1" applyBorder="1" applyAlignment="1">
      <alignment horizontal="center"/>
    </xf>
    <xf numFmtId="0" fontId="27" fillId="62" borderId="24" xfId="0" applyFont="1" applyFill="1" applyBorder="1" applyAlignment="1">
      <alignment horizontal="center"/>
    </xf>
    <xf numFmtId="0" fontId="27" fillId="61" borderId="24" xfId="0" applyFont="1" applyFill="1" applyBorder="1" applyAlignment="1">
      <alignment horizontal="center"/>
    </xf>
    <xf numFmtId="0" fontId="27" fillId="61" borderId="25" xfId="0" applyFont="1" applyFill="1" applyBorder="1" applyAlignment="1">
      <alignment horizontal="center"/>
    </xf>
    <xf numFmtId="0" fontId="24" fillId="61" borderId="23" xfId="0" applyFont="1" applyFill="1" applyBorder="1" applyAlignment="1">
      <alignment horizontal="center"/>
    </xf>
    <xf numFmtId="0" fontId="24" fillId="62" borderId="24" xfId="0" applyFont="1" applyFill="1" applyBorder="1" applyAlignment="1">
      <alignment horizontal="center"/>
    </xf>
    <xf numFmtId="0" fontId="27" fillId="63" borderId="32" xfId="0" applyFont="1" applyFill="1" applyBorder="1" applyAlignment="1">
      <alignment horizontal="center"/>
    </xf>
    <xf numFmtId="0" fontId="27" fillId="63" borderId="36" xfId="0" applyFont="1" applyFill="1" applyBorder="1" applyAlignment="1">
      <alignment horizontal="center"/>
    </xf>
    <xf numFmtId="0" fontId="27" fillId="60" borderId="36" xfId="0" applyFont="1" applyFill="1" applyBorder="1" applyAlignment="1">
      <alignment horizontal="center"/>
    </xf>
    <xf numFmtId="0" fontId="27" fillId="60" borderId="24" xfId="0" applyFont="1" applyFill="1" applyBorder="1" applyAlignment="1">
      <alignment horizontal="center"/>
    </xf>
    <xf numFmtId="0" fontId="27" fillId="0" borderId="41" xfId="0" applyFont="1" applyBorder="1" applyAlignment="1">
      <alignment horizontal="center" vertical="center" textRotation="90"/>
    </xf>
    <xf numFmtId="0" fontId="0" fillId="0" borderId="26" xfId="0" applyBorder="1"/>
    <xf numFmtId="0" fontId="0" fillId="0" borderId="37" xfId="0" applyBorder="1"/>
    <xf numFmtId="0" fontId="0" fillId="0" borderId="27" xfId="0" applyBorder="1"/>
    <xf numFmtId="0" fontId="0" fillId="0" borderId="38" xfId="0" applyBorder="1"/>
    <xf numFmtId="0" fontId="0" fillId="0" borderId="29" xfId="0" applyBorder="1"/>
    <xf numFmtId="0" fontId="0" fillId="0" borderId="30" xfId="0" applyBorder="1"/>
    <xf numFmtId="0" fontId="0" fillId="58" borderId="31" xfId="0" applyFill="1" applyBorder="1"/>
    <xf numFmtId="0" fontId="0" fillId="23" borderId="24" xfId="0" applyFill="1" applyBorder="1"/>
    <xf numFmtId="0" fontId="0" fillId="0" borderId="34" xfId="0" applyBorder="1"/>
    <xf numFmtId="0" fontId="0" fillId="60" borderId="33" xfId="0" applyFill="1" applyBorder="1"/>
    <xf numFmtId="0" fontId="0" fillId="0" borderId="35" xfId="0" applyBorder="1"/>
    <xf numFmtId="0" fontId="0" fillId="59" borderId="30" xfId="0" applyFill="1" applyBorder="1"/>
    <xf numFmtId="0" fontId="0" fillId="59" borderId="31" xfId="0" applyFill="1" applyBorder="1"/>
    <xf numFmtId="0" fontId="0" fillId="59" borderId="26" xfId="0" applyFill="1" applyBorder="1"/>
    <xf numFmtId="0" fontId="0" fillId="59" borderId="27" xfId="0" applyFill="1" applyBorder="1"/>
    <xf numFmtId="0" fontId="0" fillId="59" borderId="28" xfId="0" applyFill="1" applyBorder="1"/>
    <xf numFmtId="0" fontId="0" fillId="0" borderId="39" xfId="0" applyBorder="1"/>
    <xf numFmtId="0" fontId="0" fillId="0" borderId="0" xfId="0" applyAlignment="1">
      <alignment horizontal="left" vertical="center"/>
    </xf>
    <xf numFmtId="0" fontId="27" fillId="58" borderId="40" xfId="0" applyFont="1" applyFill="1" applyBorder="1" applyAlignment="1">
      <alignment horizontal="center"/>
    </xf>
    <xf numFmtId="0" fontId="0" fillId="23" borderId="22" xfId="0" applyFill="1" applyBorder="1"/>
    <xf numFmtId="0" fontId="0" fillId="23" borderId="7" xfId="0" applyFill="1" applyBorder="1"/>
    <xf numFmtId="0" fontId="0" fillId="64" borderId="45" xfId="0" applyFill="1" applyBorder="1"/>
    <xf numFmtId="0" fontId="0" fillId="0" borderId="45" xfId="0" applyBorder="1"/>
    <xf numFmtId="0" fontId="0" fillId="0" borderId="47" xfId="0" applyBorder="1"/>
    <xf numFmtId="0" fontId="40" fillId="0" borderId="48" xfId="0" applyFont="1" applyBorder="1" applyAlignment="1">
      <alignment horizontal="right" vertical="center"/>
    </xf>
    <xf numFmtId="0" fontId="0" fillId="0" borderId="46" xfId="0" applyBorder="1"/>
    <xf numFmtId="0" fontId="2" fillId="16" borderId="42" xfId="20" quotePrefix="1" applyNumberFormat="1" applyBorder="1">
      <alignment horizontal="left" vertical="center" wrapText="1" indent="1"/>
    </xf>
    <xf numFmtId="0" fontId="2" fillId="16" borderId="4" xfId="20" quotePrefix="1" applyNumberFormat="1">
      <alignment horizontal="left" vertical="center" wrapText="1" indent="1"/>
    </xf>
    <xf numFmtId="0" fontId="2" fillId="16" borderId="50" xfId="20" quotePrefix="1" applyNumberFormat="1" applyBorder="1">
      <alignment horizontal="left" vertical="center" wrapText="1" indent="1"/>
    </xf>
    <xf numFmtId="0" fontId="2" fillId="16" borderId="49" xfId="20" quotePrefix="1" applyNumberFormat="1" applyBorder="1">
      <alignment horizontal="left" vertical="center" wrapText="1" indent="1"/>
    </xf>
    <xf numFmtId="0" fontId="0" fillId="0" borderId="0" xfId="0" applyAlignment="1">
      <alignment horizontal="center" wrapText="1"/>
    </xf>
    <xf numFmtId="0" fontId="2" fillId="16" borderId="44" xfId="20" quotePrefix="1" applyNumberFormat="1" applyBorder="1">
      <alignment horizontal="left" vertical="center" wrapText="1" indent="1"/>
    </xf>
    <xf numFmtId="0" fontId="2" fillId="16" borderId="53" xfId="20" quotePrefix="1" applyNumberFormat="1" applyBorder="1">
      <alignment horizontal="left" vertical="center" wrapText="1" indent="1"/>
    </xf>
    <xf numFmtId="37" fontId="2" fillId="0" borderId="43" xfId="2" applyNumberFormat="1" applyBorder="1">
      <alignment horizontal="right" vertical="center"/>
    </xf>
    <xf numFmtId="37" fontId="2" fillId="0" borderId="51" xfId="2" applyNumberFormat="1" applyBorder="1">
      <alignment horizontal="right" vertical="center"/>
    </xf>
    <xf numFmtId="167" fontId="2" fillId="16" borderId="4" xfId="20" applyNumberFormat="1">
      <alignment horizontal="left" vertical="center" wrapText="1" indent="1"/>
    </xf>
    <xf numFmtId="167" fontId="2" fillId="16" borderId="49" xfId="20" applyNumberFormat="1" applyBorder="1">
      <alignment horizontal="left" vertical="center" wrapText="1" indent="1"/>
    </xf>
    <xf numFmtId="167" fontId="2" fillId="16" borderId="44" xfId="20" applyNumberFormat="1" applyBorder="1">
      <alignment horizontal="left" vertical="center" wrapText="1" indent="1"/>
    </xf>
    <xf numFmtId="0" fontId="1" fillId="2" borderId="1" xfId="1" applyNumberFormat="1" applyAlignment="1"/>
    <xf numFmtId="0" fontId="1" fillId="2" borderId="1" xfId="1" quotePrefix="1" applyNumberFormat="1" applyAlignment="1"/>
    <xf numFmtId="167" fontId="2" fillId="16" borderId="52" xfId="20" applyNumberFormat="1" applyBorder="1">
      <alignment horizontal="left" vertical="center" wrapText="1" indent="1"/>
    </xf>
  </cellXfs>
  <cellStyles count="878">
    <cellStyle name="=C:\WINNT35\SYSTEM32\COMMAND.COM" xfId="80" xr:uid="{00000000-0005-0000-0000-000000000000}"/>
    <cellStyle name="=C:\WINNT35\SYSTEM32\COMMAND.COM 2" xfId="87" xr:uid="{00000000-0005-0000-0000-000001000000}"/>
    <cellStyle name="=C:\WINNT35\SYSTEM32\COMMAND.COM_BOM- With Mfg part #" xfId="340" xr:uid="{00000000-0005-0000-0000-000002000000}"/>
    <cellStyle name="20% - Accent1" xfId="58" builtinId="30" customBuiltin="1"/>
    <cellStyle name="20% - Accent2" xfId="61" builtinId="34" customBuiltin="1"/>
    <cellStyle name="20% - Accent3" xfId="64" builtinId="38" customBuiltin="1"/>
    <cellStyle name="20% - Accent4" xfId="67" builtinId="42" customBuiltin="1"/>
    <cellStyle name="20% - Accent5" xfId="70" builtinId="46" customBuiltin="1"/>
    <cellStyle name="20% - Accent6" xfId="73" builtinId="50" customBuiltin="1"/>
    <cellStyle name="40% - Accent1" xfId="59" builtinId="31" customBuiltin="1"/>
    <cellStyle name="40% - Accent2" xfId="62" builtinId="35" customBuiltin="1"/>
    <cellStyle name="40% - Accent3" xfId="65" builtinId="39" customBuiltin="1"/>
    <cellStyle name="40% - Accent4" xfId="68" builtinId="43" customBuiltin="1"/>
    <cellStyle name="40% - Accent5" xfId="71" builtinId="47" customBuiltin="1"/>
    <cellStyle name="40% - Accent6" xfId="74" builtinId="51" customBuiltin="1"/>
    <cellStyle name="60% - Accent1 2" xfId="862" xr:uid="{00000000-0005-0000-0000-00000F000000}"/>
    <cellStyle name="60% - Accent2 2" xfId="863" xr:uid="{00000000-0005-0000-0000-000010000000}"/>
    <cellStyle name="60% - Accent3 2" xfId="864" xr:uid="{00000000-0005-0000-0000-000011000000}"/>
    <cellStyle name="60% - Accent4 2" xfId="865" xr:uid="{00000000-0005-0000-0000-000012000000}"/>
    <cellStyle name="60% - Accent5 2" xfId="866" xr:uid="{00000000-0005-0000-0000-000013000000}"/>
    <cellStyle name="60% - Accent6 2" xfId="867" xr:uid="{00000000-0005-0000-0000-000014000000}"/>
    <cellStyle name="Accent1" xfId="57" builtinId="29" customBuiltin="1"/>
    <cellStyle name="Accent2" xfId="60" builtinId="33" customBuiltin="1"/>
    <cellStyle name="Accent3" xfId="63" builtinId="37" customBuiltin="1"/>
    <cellStyle name="Accent4" xfId="66" builtinId="41" customBuiltin="1"/>
    <cellStyle name="Accent5" xfId="69" builtinId="45" customBuiltin="1"/>
    <cellStyle name="Accent6" xfId="72" builtinId="49" customBuiltin="1"/>
    <cellStyle name="Bad" xfId="48" builtinId="27" customBuiltin="1"/>
    <cellStyle name="Bad 2" xfId="75" xr:uid="{00000000-0005-0000-0000-00001C000000}"/>
    <cellStyle name="Calculation" xfId="51" builtinId="22" customBuiltin="1"/>
    <cellStyle name="Check Cell" xfId="53" builtinId="23" customBuiltin="1"/>
    <cellStyle name="Comma 2" xfId="849" xr:uid="{00000000-0005-0000-0000-00001F000000}"/>
    <cellStyle name="Currency 10" xfId="245" xr:uid="{00000000-0005-0000-0000-000021000000}"/>
    <cellStyle name="Currency 10 2" xfId="338" xr:uid="{00000000-0005-0000-0000-000022000000}"/>
    <cellStyle name="Currency 10 2 2" xfId="341" xr:uid="{00000000-0005-0000-0000-000023000000}"/>
    <cellStyle name="Currency 10 3" xfId="342" xr:uid="{00000000-0005-0000-0000-000024000000}"/>
    <cellStyle name="Currency 11" xfId="248" xr:uid="{00000000-0005-0000-0000-000025000000}"/>
    <cellStyle name="Currency 12" xfId="698" xr:uid="{00000000-0005-0000-0000-000026000000}"/>
    <cellStyle name="Currency 13" xfId="81" xr:uid="{00000000-0005-0000-0000-000027000000}"/>
    <cellStyle name="Currency 2" xfId="88" xr:uid="{00000000-0005-0000-0000-000028000000}"/>
    <cellStyle name="Currency 3" xfId="92" xr:uid="{00000000-0005-0000-0000-000029000000}"/>
    <cellStyle name="Currency 4" xfId="95" xr:uid="{00000000-0005-0000-0000-00002A000000}"/>
    <cellStyle name="Currency 4 2" xfId="98" xr:uid="{00000000-0005-0000-0000-00002B000000}"/>
    <cellStyle name="Currency 4 2 2" xfId="175" xr:uid="{00000000-0005-0000-0000-00002C000000}"/>
    <cellStyle name="Currency 4 2 2 2" xfId="185" xr:uid="{00000000-0005-0000-0000-00002D000000}"/>
    <cellStyle name="Currency 4 2 2 2 2" xfId="281" xr:uid="{00000000-0005-0000-0000-00002E000000}"/>
    <cellStyle name="Currency 4 2 2 2 2 2" xfId="343" xr:uid="{00000000-0005-0000-0000-00002F000000}"/>
    <cellStyle name="Currency 4 2 2 2 3" xfId="344" xr:uid="{00000000-0005-0000-0000-000030000000}"/>
    <cellStyle name="Currency 4 2 2 2 4" xfId="555" xr:uid="{00000000-0005-0000-0000-000031000000}"/>
    <cellStyle name="Currency 4 2 2 2 5" xfId="643" xr:uid="{00000000-0005-0000-0000-000032000000}"/>
    <cellStyle name="Currency 4 2 2 3" xfId="184" xr:uid="{00000000-0005-0000-0000-000033000000}"/>
    <cellStyle name="Currency 4 2 2 3 2" xfId="280" xr:uid="{00000000-0005-0000-0000-000034000000}"/>
    <cellStyle name="Currency 4 2 2 3 2 2" xfId="345" xr:uid="{00000000-0005-0000-0000-000035000000}"/>
    <cellStyle name="Currency 4 2 2 3 3" xfId="346" xr:uid="{00000000-0005-0000-0000-000036000000}"/>
    <cellStyle name="Currency 4 2 2 3 4" xfId="554" xr:uid="{00000000-0005-0000-0000-000037000000}"/>
    <cellStyle name="Currency 4 2 2 3 5" xfId="642" xr:uid="{00000000-0005-0000-0000-000038000000}"/>
    <cellStyle name="Currency 4 2 2 4" xfId="271" xr:uid="{00000000-0005-0000-0000-000039000000}"/>
    <cellStyle name="Currency 4 2 2 4 2" xfId="347" xr:uid="{00000000-0005-0000-0000-00003A000000}"/>
    <cellStyle name="Currency 4 2 2 5" xfId="348" xr:uid="{00000000-0005-0000-0000-00003B000000}"/>
    <cellStyle name="Currency 4 2 2 6" xfId="545" xr:uid="{00000000-0005-0000-0000-00003C000000}"/>
    <cellStyle name="Currency 4 2 2 7" xfId="633" xr:uid="{00000000-0005-0000-0000-00003D000000}"/>
    <cellStyle name="Currency 4 2 3" xfId="186" xr:uid="{00000000-0005-0000-0000-00003E000000}"/>
    <cellStyle name="Currency 4 2 3 2" xfId="282" xr:uid="{00000000-0005-0000-0000-00003F000000}"/>
    <cellStyle name="Currency 4 2 3 2 2" xfId="349" xr:uid="{00000000-0005-0000-0000-000040000000}"/>
    <cellStyle name="Currency 4 2 3 3" xfId="350" xr:uid="{00000000-0005-0000-0000-000041000000}"/>
    <cellStyle name="Currency 4 2 3 4" xfId="556" xr:uid="{00000000-0005-0000-0000-000042000000}"/>
    <cellStyle name="Currency 4 2 3 5" xfId="644" xr:uid="{00000000-0005-0000-0000-000043000000}"/>
    <cellStyle name="Currency 4 2 4" xfId="183" xr:uid="{00000000-0005-0000-0000-000044000000}"/>
    <cellStyle name="Currency 4 2 4 2" xfId="279" xr:uid="{00000000-0005-0000-0000-000045000000}"/>
    <cellStyle name="Currency 4 2 4 2 2" xfId="351" xr:uid="{00000000-0005-0000-0000-000046000000}"/>
    <cellStyle name="Currency 4 2 4 3" xfId="352" xr:uid="{00000000-0005-0000-0000-000047000000}"/>
    <cellStyle name="Currency 4 2 4 4" xfId="553" xr:uid="{00000000-0005-0000-0000-000048000000}"/>
    <cellStyle name="Currency 4 2 4 5" xfId="641" xr:uid="{00000000-0005-0000-0000-000049000000}"/>
    <cellStyle name="Currency 4 2 5" xfId="256" xr:uid="{00000000-0005-0000-0000-00004A000000}"/>
    <cellStyle name="Currency 4 2 5 2" xfId="353" xr:uid="{00000000-0005-0000-0000-00004B000000}"/>
    <cellStyle name="Currency 4 2 6" xfId="354" xr:uid="{00000000-0005-0000-0000-00004C000000}"/>
    <cellStyle name="Currency 4 2 7" xfId="530" xr:uid="{00000000-0005-0000-0000-00004D000000}"/>
    <cellStyle name="Currency 4 2 8" xfId="618" xr:uid="{00000000-0005-0000-0000-00004E000000}"/>
    <cellStyle name="Currency 4 3" xfId="173" xr:uid="{00000000-0005-0000-0000-00004F000000}"/>
    <cellStyle name="Currency 4 3 2" xfId="188" xr:uid="{00000000-0005-0000-0000-000050000000}"/>
    <cellStyle name="Currency 4 3 2 2" xfId="284" xr:uid="{00000000-0005-0000-0000-000051000000}"/>
    <cellStyle name="Currency 4 3 2 2 2" xfId="355" xr:uid="{00000000-0005-0000-0000-000052000000}"/>
    <cellStyle name="Currency 4 3 2 3" xfId="356" xr:uid="{00000000-0005-0000-0000-000053000000}"/>
    <cellStyle name="Currency 4 3 2 4" xfId="558" xr:uid="{00000000-0005-0000-0000-000054000000}"/>
    <cellStyle name="Currency 4 3 2 5" xfId="646" xr:uid="{00000000-0005-0000-0000-000055000000}"/>
    <cellStyle name="Currency 4 3 3" xfId="187" xr:uid="{00000000-0005-0000-0000-000056000000}"/>
    <cellStyle name="Currency 4 3 3 2" xfId="283" xr:uid="{00000000-0005-0000-0000-000057000000}"/>
    <cellStyle name="Currency 4 3 3 2 2" xfId="357" xr:uid="{00000000-0005-0000-0000-000058000000}"/>
    <cellStyle name="Currency 4 3 3 3" xfId="358" xr:uid="{00000000-0005-0000-0000-000059000000}"/>
    <cellStyle name="Currency 4 3 3 4" xfId="557" xr:uid="{00000000-0005-0000-0000-00005A000000}"/>
    <cellStyle name="Currency 4 3 3 5" xfId="645" xr:uid="{00000000-0005-0000-0000-00005B000000}"/>
    <cellStyle name="Currency 4 3 4" xfId="269" xr:uid="{00000000-0005-0000-0000-00005C000000}"/>
    <cellStyle name="Currency 4 3 4 2" xfId="359" xr:uid="{00000000-0005-0000-0000-00005D000000}"/>
    <cellStyle name="Currency 4 3 5" xfId="360" xr:uid="{00000000-0005-0000-0000-00005E000000}"/>
    <cellStyle name="Currency 4 3 6" xfId="543" xr:uid="{00000000-0005-0000-0000-00005F000000}"/>
    <cellStyle name="Currency 4 3 7" xfId="631" xr:uid="{00000000-0005-0000-0000-000060000000}"/>
    <cellStyle name="Currency 4 4" xfId="189" xr:uid="{00000000-0005-0000-0000-000061000000}"/>
    <cellStyle name="Currency 4 4 2" xfId="285" xr:uid="{00000000-0005-0000-0000-000062000000}"/>
    <cellStyle name="Currency 4 4 2 2" xfId="361" xr:uid="{00000000-0005-0000-0000-000063000000}"/>
    <cellStyle name="Currency 4 4 3" xfId="362" xr:uid="{00000000-0005-0000-0000-000064000000}"/>
    <cellStyle name="Currency 4 4 4" xfId="559" xr:uid="{00000000-0005-0000-0000-000065000000}"/>
    <cellStyle name="Currency 4 4 5" xfId="647" xr:uid="{00000000-0005-0000-0000-000066000000}"/>
    <cellStyle name="Currency 4 5" xfId="182" xr:uid="{00000000-0005-0000-0000-000067000000}"/>
    <cellStyle name="Currency 4 5 2" xfId="278" xr:uid="{00000000-0005-0000-0000-000068000000}"/>
    <cellStyle name="Currency 4 5 2 2" xfId="363" xr:uid="{00000000-0005-0000-0000-000069000000}"/>
    <cellStyle name="Currency 4 5 3" xfId="364" xr:uid="{00000000-0005-0000-0000-00006A000000}"/>
    <cellStyle name="Currency 4 5 4" xfId="552" xr:uid="{00000000-0005-0000-0000-00006B000000}"/>
    <cellStyle name="Currency 4 5 5" xfId="640" xr:uid="{00000000-0005-0000-0000-00006C000000}"/>
    <cellStyle name="Currency 4 6" xfId="254" xr:uid="{00000000-0005-0000-0000-00006D000000}"/>
    <cellStyle name="Currency 4 6 2" xfId="365" xr:uid="{00000000-0005-0000-0000-00006E000000}"/>
    <cellStyle name="Currency 4 7" xfId="366" xr:uid="{00000000-0005-0000-0000-00006F000000}"/>
    <cellStyle name="Currency 4 8" xfId="528" xr:uid="{00000000-0005-0000-0000-000070000000}"/>
    <cellStyle name="Currency 4 9" xfId="616" xr:uid="{00000000-0005-0000-0000-000071000000}"/>
    <cellStyle name="Currency 5" xfId="91" xr:uid="{00000000-0005-0000-0000-000072000000}"/>
    <cellStyle name="Currency 5 2" xfId="161" xr:uid="{00000000-0005-0000-0000-000073000000}"/>
    <cellStyle name="Currency 5 2 2" xfId="180" xr:uid="{00000000-0005-0000-0000-000074000000}"/>
    <cellStyle name="Currency 5 2 2 2" xfId="193" xr:uid="{00000000-0005-0000-0000-000075000000}"/>
    <cellStyle name="Currency 5 2 2 2 2" xfId="289" xr:uid="{00000000-0005-0000-0000-000076000000}"/>
    <cellStyle name="Currency 5 2 2 2 2 2" xfId="367" xr:uid="{00000000-0005-0000-0000-000077000000}"/>
    <cellStyle name="Currency 5 2 2 2 3" xfId="368" xr:uid="{00000000-0005-0000-0000-000078000000}"/>
    <cellStyle name="Currency 5 2 2 2 4" xfId="563" xr:uid="{00000000-0005-0000-0000-000079000000}"/>
    <cellStyle name="Currency 5 2 2 2 5" xfId="651" xr:uid="{00000000-0005-0000-0000-00007A000000}"/>
    <cellStyle name="Currency 5 2 2 3" xfId="192" xr:uid="{00000000-0005-0000-0000-00007B000000}"/>
    <cellStyle name="Currency 5 2 2 3 2" xfId="288" xr:uid="{00000000-0005-0000-0000-00007C000000}"/>
    <cellStyle name="Currency 5 2 2 3 2 2" xfId="369" xr:uid="{00000000-0005-0000-0000-00007D000000}"/>
    <cellStyle name="Currency 5 2 2 3 3" xfId="370" xr:uid="{00000000-0005-0000-0000-00007E000000}"/>
    <cellStyle name="Currency 5 2 2 3 4" xfId="562" xr:uid="{00000000-0005-0000-0000-00007F000000}"/>
    <cellStyle name="Currency 5 2 2 3 5" xfId="650" xr:uid="{00000000-0005-0000-0000-000080000000}"/>
    <cellStyle name="Currency 5 2 2 4" xfId="276" xr:uid="{00000000-0005-0000-0000-000081000000}"/>
    <cellStyle name="Currency 5 2 2 4 2" xfId="371" xr:uid="{00000000-0005-0000-0000-000082000000}"/>
    <cellStyle name="Currency 5 2 2 5" xfId="372" xr:uid="{00000000-0005-0000-0000-000083000000}"/>
    <cellStyle name="Currency 5 2 2 6" xfId="550" xr:uid="{00000000-0005-0000-0000-000084000000}"/>
    <cellStyle name="Currency 5 2 2 7" xfId="638" xr:uid="{00000000-0005-0000-0000-000085000000}"/>
    <cellStyle name="Currency 5 2 3" xfId="194" xr:uid="{00000000-0005-0000-0000-000086000000}"/>
    <cellStyle name="Currency 5 2 3 2" xfId="290" xr:uid="{00000000-0005-0000-0000-000087000000}"/>
    <cellStyle name="Currency 5 2 3 2 2" xfId="373" xr:uid="{00000000-0005-0000-0000-000088000000}"/>
    <cellStyle name="Currency 5 2 3 3" xfId="374" xr:uid="{00000000-0005-0000-0000-000089000000}"/>
    <cellStyle name="Currency 5 2 3 4" xfId="564" xr:uid="{00000000-0005-0000-0000-00008A000000}"/>
    <cellStyle name="Currency 5 2 3 5" xfId="652" xr:uid="{00000000-0005-0000-0000-00008B000000}"/>
    <cellStyle name="Currency 5 2 4" xfId="191" xr:uid="{00000000-0005-0000-0000-00008C000000}"/>
    <cellStyle name="Currency 5 2 4 2" xfId="287" xr:uid="{00000000-0005-0000-0000-00008D000000}"/>
    <cellStyle name="Currency 5 2 4 2 2" xfId="375" xr:uid="{00000000-0005-0000-0000-00008E000000}"/>
    <cellStyle name="Currency 5 2 4 3" xfId="376" xr:uid="{00000000-0005-0000-0000-00008F000000}"/>
    <cellStyle name="Currency 5 2 4 4" xfId="561" xr:uid="{00000000-0005-0000-0000-000090000000}"/>
    <cellStyle name="Currency 5 2 4 5" xfId="649" xr:uid="{00000000-0005-0000-0000-000091000000}"/>
    <cellStyle name="Currency 5 2 5" xfId="261" xr:uid="{00000000-0005-0000-0000-000092000000}"/>
    <cellStyle name="Currency 5 2 5 2" xfId="377" xr:uid="{00000000-0005-0000-0000-000093000000}"/>
    <cellStyle name="Currency 5 2 6" xfId="378" xr:uid="{00000000-0005-0000-0000-000094000000}"/>
    <cellStyle name="Currency 5 2 7" xfId="535" xr:uid="{00000000-0005-0000-0000-000095000000}"/>
    <cellStyle name="Currency 5 2 8" xfId="623" xr:uid="{00000000-0005-0000-0000-000096000000}"/>
    <cellStyle name="Currency 5 3" xfId="170" xr:uid="{00000000-0005-0000-0000-000097000000}"/>
    <cellStyle name="Currency 5 3 2" xfId="196" xr:uid="{00000000-0005-0000-0000-000098000000}"/>
    <cellStyle name="Currency 5 3 2 2" xfId="292" xr:uid="{00000000-0005-0000-0000-000099000000}"/>
    <cellStyle name="Currency 5 3 2 2 2" xfId="379" xr:uid="{00000000-0005-0000-0000-00009A000000}"/>
    <cellStyle name="Currency 5 3 2 3" xfId="380" xr:uid="{00000000-0005-0000-0000-00009B000000}"/>
    <cellStyle name="Currency 5 3 2 4" xfId="566" xr:uid="{00000000-0005-0000-0000-00009C000000}"/>
    <cellStyle name="Currency 5 3 2 5" xfId="654" xr:uid="{00000000-0005-0000-0000-00009D000000}"/>
    <cellStyle name="Currency 5 3 3" xfId="195" xr:uid="{00000000-0005-0000-0000-00009E000000}"/>
    <cellStyle name="Currency 5 3 3 2" xfId="291" xr:uid="{00000000-0005-0000-0000-00009F000000}"/>
    <cellStyle name="Currency 5 3 3 2 2" xfId="381" xr:uid="{00000000-0005-0000-0000-0000A0000000}"/>
    <cellStyle name="Currency 5 3 3 3" xfId="382" xr:uid="{00000000-0005-0000-0000-0000A1000000}"/>
    <cellStyle name="Currency 5 3 3 4" xfId="565" xr:uid="{00000000-0005-0000-0000-0000A2000000}"/>
    <cellStyle name="Currency 5 3 3 5" xfId="653" xr:uid="{00000000-0005-0000-0000-0000A3000000}"/>
    <cellStyle name="Currency 5 3 4" xfId="266" xr:uid="{00000000-0005-0000-0000-0000A4000000}"/>
    <cellStyle name="Currency 5 3 4 2" xfId="383" xr:uid="{00000000-0005-0000-0000-0000A5000000}"/>
    <cellStyle name="Currency 5 3 5" xfId="384" xr:uid="{00000000-0005-0000-0000-0000A6000000}"/>
    <cellStyle name="Currency 5 3 6" xfId="540" xr:uid="{00000000-0005-0000-0000-0000A7000000}"/>
    <cellStyle name="Currency 5 3 7" xfId="628" xr:uid="{00000000-0005-0000-0000-0000A8000000}"/>
    <cellStyle name="Currency 5 4" xfId="197" xr:uid="{00000000-0005-0000-0000-0000A9000000}"/>
    <cellStyle name="Currency 5 4 2" xfId="293" xr:uid="{00000000-0005-0000-0000-0000AA000000}"/>
    <cellStyle name="Currency 5 4 2 2" xfId="385" xr:uid="{00000000-0005-0000-0000-0000AB000000}"/>
    <cellStyle name="Currency 5 4 3" xfId="386" xr:uid="{00000000-0005-0000-0000-0000AC000000}"/>
    <cellStyle name="Currency 5 4 4" xfId="567" xr:uid="{00000000-0005-0000-0000-0000AD000000}"/>
    <cellStyle name="Currency 5 4 5" xfId="655" xr:uid="{00000000-0005-0000-0000-0000AE000000}"/>
    <cellStyle name="Currency 5 5" xfId="190" xr:uid="{00000000-0005-0000-0000-0000AF000000}"/>
    <cellStyle name="Currency 5 5 2" xfId="286" xr:uid="{00000000-0005-0000-0000-0000B0000000}"/>
    <cellStyle name="Currency 5 5 2 2" xfId="387" xr:uid="{00000000-0005-0000-0000-0000B1000000}"/>
    <cellStyle name="Currency 5 5 3" xfId="388" xr:uid="{00000000-0005-0000-0000-0000B2000000}"/>
    <cellStyle name="Currency 5 5 4" xfId="560" xr:uid="{00000000-0005-0000-0000-0000B3000000}"/>
    <cellStyle name="Currency 5 5 5" xfId="648" xr:uid="{00000000-0005-0000-0000-0000B4000000}"/>
    <cellStyle name="Currency 5 6" xfId="251" xr:uid="{00000000-0005-0000-0000-0000B5000000}"/>
    <cellStyle name="Currency 5 6 2" xfId="389" xr:uid="{00000000-0005-0000-0000-0000B6000000}"/>
    <cellStyle name="Currency 5 7" xfId="390" xr:uid="{00000000-0005-0000-0000-0000B7000000}"/>
    <cellStyle name="Currency 5 8" xfId="525" xr:uid="{00000000-0005-0000-0000-0000B8000000}"/>
    <cellStyle name="Currency 5 9" xfId="613" xr:uid="{00000000-0005-0000-0000-0000B9000000}"/>
    <cellStyle name="Currency 6" xfId="166" xr:uid="{00000000-0005-0000-0000-0000BA000000}"/>
    <cellStyle name="Currency 7" xfId="198" xr:uid="{00000000-0005-0000-0000-0000BB000000}"/>
    <cellStyle name="Currency 8" xfId="242" xr:uid="{00000000-0005-0000-0000-0000BC000000}"/>
    <cellStyle name="Currency 8 2" xfId="336" xr:uid="{00000000-0005-0000-0000-0000BD000000}"/>
    <cellStyle name="Currency 8 2 2" xfId="391" xr:uid="{00000000-0005-0000-0000-0000BE000000}"/>
    <cellStyle name="Currency 8 3" xfId="392" xr:uid="{00000000-0005-0000-0000-0000BF000000}"/>
    <cellStyle name="Currency 9" xfId="244" xr:uid="{00000000-0005-0000-0000-0000C0000000}"/>
    <cellStyle name="Currency 9 2" xfId="337" xr:uid="{00000000-0005-0000-0000-0000C1000000}"/>
    <cellStyle name="Currency 9 2 2" xfId="393" xr:uid="{00000000-0005-0000-0000-0000C2000000}"/>
    <cellStyle name="Currency 9 3" xfId="394" xr:uid="{00000000-0005-0000-0000-0000C3000000}"/>
    <cellStyle name="Explanatory Text" xfId="55" builtinId="53" customBuiltin="1"/>
    <cellStyle name="Good" xfId="47" builtinId="26" customBuiltin="1"/>
    <cellStyle name="Header1" xfId="99" xr:uid="{00000000-0005-0000-0000-0000C6000000}"/>
    <cellStyle name="Header2" xfId="100" xr:uid="{00000000-0005-0000-0000-0000C7000000}"/>
    <cellStyle name="Header2 2" xfId="829" xr:uid="{00000000-0005-0000-0000-0000C8000000}"/>
    <cellStyle name="Heading 1" xfId="43" builtinId="16" customBuiltin="1"/>
    <cellStyle name="Heading 2" xfId="44" builtinId="17" customBuiltin="1"/>
    <cellStyle name="Heading 3" xfId="45" builtinId="18" customBuiltin="1"/>
    <cellStyle name="Heading 4" xfId="46" builtinId="19" customBuiltin="1"/>
    <cellStyle name="Hyperlink 2" xfId="167" xr:uid="{00000000-0005-0000-0000-0000CD000000}"/>
    <cellStyle name="Hyperlink 3" xfId="164" xr:uid="{00000000-0005-0000-0000-0000CE000000}"/>
    <cellStyle name="Hyperlink 4" xfId="339" xr:uid="{00000000-0005-0000-0000-0000CF000000}"/>
    <cellStyle name="Hyperlink 5" xfId="82" xr:uid="{00000000-0005-0000-0000-0000D0000000}"/>
    <cellStyle name="Input" xfId="49" builtinId="20" customBuiltin="1"/>
    <cellStyle name="Linked Cell" xfId="52" builtinId="24" customBuiltin="1"/>
    <cellStyle name="Neutral 2" xfId="861" xr:uid="{00000000-0005-0000-0000-0000D3000000}"/>
    <cellStyle name="Normal" xfId="0" builtinId="0"/>
    <cellStyle name="Normal 10" xfId="101" xr:uid="{00000000-0005-0000-0000-0000D5000000}"/>
    <cellStyle name="Normal 11" xfId="102" xr:uid="{00000000-0005-0000-0000-0000D6000000}"/>
    <cellStyle name="Normal 12" xfId="103" xr:uid="{00000000-0005-0000-0000-0000D7000000}"/>
    <cellStyle name="Normal 13" xfId="104" xr:uid="{00000000-0005-0000-0000-0000D8000000}"/>
    <cellStyle name="Normal 14" xfId="105" xr:uid="{00000000-0005-0000-0000-0000D9000000}"/>
    <cellStyle name="Normal 15" xfId="106" xr:uid="{00000000-0005-0000-0000-0000DA000000}"/>
    <cellStyle name="Normal 16" xfId="107" xr:uid="{00000000-0005-0000-0000-0000DB000000}"/>
    <cellStyle name="Normal 17" xfId="108" xr:uid="{00000000-0005-0000-0000-0000DC000000}"/>
    <cellStyle name="Normal 18" xfId="109" xr:uid="{00000000-0005-0000-0000-0000DD000000}"/>
    <cellStyle name="Normal 19" xfId="84" xr:uid="{00000000-0005-0000-0000-0000DE000000}"/>
    <cellStyle name="Normal 2" xfId="83" xr:uid="{00000000-0005-0000-0000-0000DF000000}"/>
    <cellStyle name="Normal 2 10" xfId="110" xr:uid="{00000000-0005-0000-0000-0000E0000000}"/>
    <cellStyle name="Normal 2 11" xfId="111" xr:uid="{00000000-0005-0000-0000-0000E1000000}"/>
    <cellStyle name="Normal 2 12" xfId="112" xr:uid="{00000000-0005-0000-0000-0000E2000000}"/>
    <cellStyle name="Normal 2 13" xfId="113" xr:uid="{00000000-0005-0000-0000-0000E3000000}"/>
    <cellStyle name="Normal 2 14" xfId="114" xr:uid="{00000000-0005-0000-0000-0000E4000000}"/>
    <cellStyle name="Normal 2 15" xfId="115" xr:uid="{00000000-0005-0000-0000-0000E5000000}"/>
    <cellStyle name="Normal 2 16" xfId="116" xr:uid="{00000000-0005-0000-0000-0000E6000000}"/>
    <cellStyle name="Normal 2 17" xfId="117" xr:uid="{00000000-0005-0000-0000-0000E7000000}"/>
    <cellStyle name="Normal 2 18" xfId="118" xr:uid="{00000000-0005-0000-0000-0000E8000000}"/>
    <cellStyle name="Normal 2 19" xfId="119" xr:uid="{00000000-0005-0000-0000-0000E9000000}"/>
    <cellStyle name="Normal 2 2" xfId="77" xr:uid="{00000000-0005-0000-0000-0000EA000000}"/>
    <cellStyle name="Normal 2 2 2" xfId="120" xr:uid="{00000000-0005-0000-0000-0000EB000000}"/>
    <cellStyle name="Normal 2 2 2 2" xfId="830" xr:uid="{00000000-0005-0000-0000-0000EC000000}"/>
    <cellStyle name="Normal 2 2 2 3" xfId="877" xr:uid="{00000000-0005-0000-0000-0000EB000000}"/>
    <cellStyle name="Normal 2 20" xfId="121" xr:uid="{00000000-0005-0000-0000-0000ED000000}"/>
    <cellStyle name="Normal 2 21" xfId="122" xr:uid="{00000000-0005-0000-0000-0000EE000000}"/>
    <cellStyle name="Normal 2 22" xfId="123" xr:uid="{00000000-0005-0000-0000-0000EF000000}"/>
    <cellStyle name="Normal 2 23" xfId="124" xr:uid="{00000000-0005-0000-0000-0000F0000000}"/>
    <cellStyle name="Normal 2 24" xfId="125" xr:uid="{00000000-0005-0000-0000-0000F1000000}"/>
    <cellStyle name="Normal 2 25" xfId="126" xr:uid="{00000000-0005-0000-0000-0000F2000000}"/>
    <cellStyle name="Normal 2 26" xfId="127" xr:uid="{00000000-0005-0000-0000-0000F3000000}"/>
    <cellStyle name="Normal 2 27" xfId="128" xr:uid="{00000000-0005-0000-0000-0000F4000000}"/>
    <cellStyle name="Normal 2 28" xfId="129" xr:uid="{00000000-0005-0000-0000-0000F5000000}"/>
    <cellStyle name="Normal 2 29" xfId="130" xr:uid="{00000000-0005-0000-0000-0000F6000000}"/>
    <cellStyle name="Normal 2 3" xfId="36" xr:uid="{00000000-0005-0000-0000-0000F7000000}"/>
    <cellStyle name="Normal 2 3 2" xfId="131" xr:uid="{00000000-0005-0000-0000-0000F8000000}"/>
    <cellStyle name="Normal 2 30" xfId="132" xr:uid="{00000000-0005-0000-0000-0000F9000000}"/>
    <cellStyle name="Normal 2 31" xfId="133" xr:uid="{00000000-0005-0000-0000-0000FA000000}"/>
    <cellStyle name="Normal 2 32" xfId="243" xr:uid="{00000000-0005-0000-0000-0000FB000000}"/>
    <cellStyle name="Normal 2 33" xfId="876" xr:uid="{00000000-0005-0000-0000-0000DF000000}"/>
    <cellStyle name="Normal 2 4" xfId="134" xr:uid="{00000000-0005-0000-0000-0000FC000000}"/>
    <cellStyle name="Normal 2 5" xfId="135" xr:uid="{00000000-0005-0000-0000-0000FD000000}"/>
    <cellStyle name="Normal 2 6" xfId="136" xr:uid="{00000000-0005-0000-0000-0000FE000000}"/>
    <cellStyle name="Normal 2 7" xfId="137" xr:uid="{00000000-0005-0000-0000-0000FF000000}"/>
    <cellStyle name="Normal 2 8" xfId="138" xr:uid="{00000000-0005-0000-0000-000000010000}"/>
    <cellStyle name="Normal 2 9" xfId="139" xr:uid="{00000000-0005-0000-0000-000001010000}"/>
    <cellStyle name="Normal 20" xfId="140" xr:uid="{00000000-0005-0000-0000-000002010000}"/>
    <cellStyle name="Normal 202" xfId="76" xr:uid="{00000000-0005-0000-0000-000003010000}"/>
    <cellStyle name="Normal 21" xfId="141" xr:uid="{00000000-0005-0000-0000-000004010000}"/>
    <cellStyle name="Normal 22" xfId="142" xr:uid="{00000000-0005-0000-0000-000005010000}"/>
    <cellStyle name="Normal 23" xfId="143" xr:uid="{00000000-0005-0000-0000-000006010000}"/>
    <cellStyle name="Normal 24" xfId="144" xr:uid="{00000000-0005-0000-0000-000007010000}"/>
    <cellStyle name="Normal 25" xfId="145" xr:uid="{00000000-0005-0000-0000-000008010000}"/>
    <cellStyle name="Normal 26" xfId="146" xr:uid="{00000000-0005-0000-0000-000009010000}"/>
    <cellStyle name="Normal 27" xfId="147" xr:uid="{00000000-0005-0000-0000-00000A010000}"/>
    <cellStyle name="Normal 28" xfId="148" xr:uid="{00000000-0005-0000-0000-00000B010000}"/>
    <cellStyle name="Normal 29" xfId="149" xr:uid="{00000000-0005-0000-0000-00000C010000}"/>
    <cellStyle name="Normal 3" xfId="86" xr:uid="{00000000-0005-0000-0000-00000D010000}"/>
    <cellStyle name="Normal 3 2" xfId="831" xr:uid="{00000000-0005-0000-0000-00000E010000}"/>
    <cellStyle name="Normal 30" xfId="150" xr:uid="{00000000-0005-0000-0000-00000F010000}"/>
    <cellStyle name="Normal 31" xfId="151" xr:uid="{00000000-0005-0000-0000-000010010000}"/>
    <cellStyle name="Normal 32" xfId="97" xr:uid="{00000000-0005-0000-0000-000011010000}"/>
    <cellStyle name="Normal 33" xfId="165" xr:uid="{00000000-0005-0000-0000-000012010000}"/>
    <cellStyle name="Normal 34" xfId="163" xr:uid="{00000000-0005-0000-0000-000013010000}"/>
    <cellStyle name="Normal 34 2" xfId="200" xr:uid="{00000000-0005-0000-0000-000014010000}"/>
    <cellStyle name="Normal 34 2 2" xfId="295" xr:uid="{00000000-0005-0000-0000-000015010000}"/>
    <cellStyle name="Normal 34 2 2 2" xfId="395" xr:uid="{00000000-0005-0000-0000-000016010000}"/>
    <cellStyle name="Normal 34 2 2_BOM- With Mfg part #" xfId="701" xr:uid="{00000000-0005-0000-0000-000017010000}"/>
    <cellStyle name="Normal 34 2 3" xfId="396" xr:uid="{00000000-0005-0000-0000-000018010000}"/>
    <cellStyle name="Normal 34 2 4" xfId="569" xr:uid="{00000000-0005-0000-0000-000019010000}"/>
    <cellStyle name="Normal 34 2 5" xfId="657" xr:uid="{00000000-0005-0000-0000-00001A010000}"/>
    <cellStyle name="Normal 34 2_BOM- With Mfg part #" xfId="700" xr:uid="{00000000-0005-0000-0000-00001B010000}"/>
    <cellStyle name="Normal 34 3" xfId="199" xr:uid="{00000000-0005-0000-0000-00001C010000}"/>
    <cellStyle name="Normal 34 3 2" xfId="294" xr:uid="{00000000-0005-0000-0000-00001D010000}"/>
    <cellStyle name="Normal 34 3 2 2" xfId="397" xr:uid="{00000000-0005-0000-0000-00001E010000}"/>
    <cellStyle name="Normal 34 3 2_BOM- With Mfg part #" xfId="703" xr:uid="{00000000-0005-0000-0000-00001F010000}"/>
    <cellStyle name="Normal 34 3 3" xfId="398" xr:uid="{00000000-0005-0000-0000-000020010000}"/>
    <cellStyle name="Normal 34 3 4" xfId="568" xr:uid="{00000000-0005-0000-0000-000021010000}"/>
    <cellStyle name="Normal 34 3 5" xfId="656" xr:uid="{00000000-0005-0000-0000-000022010000}"/>
    <cellStyle name="Normal 34 3_BOM- With Mfg part #" xfId="702" xr:uid="{00000000-0005-0000-0000-000023010000}"/>
    <cellStyle name="Normal 34 4" xfId="263" xr:uid="{00000000-0005-0000-0000-000024010000}"/>
    <cellStyle name="Normal 34 4 2" xfId="399" xr:uid="{00000000-0005-0000-0000-000025010000}"/>
    <cellStyle name="Normal 34 4_BOM- With Mfg part #" xfId="704" xr:uid="{00000000-0005-0000-0000-000026010000}"/>
    <cellStyle name="Normal 34 5" xfId="400" xr:uid="{00000000-0005-0000-0000-000027010000}"/>
    <cellStyle name="Normal 34 6" xfId="537" xr:uid="{00000000-0005-0000-0000-000028010000}"/>
    <cellStyle name="Normal 34 7" xfId="625" xr:uid="{00000000-0005-0000-0000-000029010000}"/>
    <cellStyle name="Normal 34_BOM- With Mfg part #" xfId="699" xr:uid="{00000000-0005-0000-0000-00002A010000}"/>
    <cellStyle name="Normal 35" xfId="201" xr:uid="{00000000-0005-0000-0000-00002B010000}"/>
    <cellStyle name="Normal 36" xfId="247" xr:uid="{00000000-0005-0000-0000-00002C010000}"/>
    <cellStyle name="Normal 37" xfId="246" xr:uid="{00000000-0005-0000-0000-00002D010000}"/>
    <cellStyle name="Normal 37 2" xfId="401" xr:uid="{00000000-0005-0000-0000-00002E010000}"/>
    <cellStyle name="Normal 37_BOM- With Mfg part #" xfId="705" xr:uid="{00000000-0005-0000-0000-00002F010000}"/>
    <cellStyle name="Normal 38" xfId="522" xr:uid="{00000000-0005-0000-0000-000030010000}"/>
    <cellStyle name="Normal 39" xfId="610" xr:uid="{00000000-0005-0000-0000-000031010000}"/>
    <cellStyle name="Normal 4" xfId="85" xr:uid="{00000000-0005-0000-0000-000032010000}"/>
    <cellStyle name="Normal 4 10" xfId="523" xr:uid="{00000000-0005-0000-0000-000033010000}"/>
    <cellStyle name="Normal 4 11" xfId="611" xr:uid="{00000000-0005-0000-0000-000034010000}"/>
    <cellStyle name="Normal 4 12" xfId="832" xr:uid="{00000000-0005-0000-0000-000035010000}"/>
    <cellStyle name="Normal 4 2" xfId="96" xr:uid="{00000000-0005-0000-0000-000036010000}"/>
    <cellStyle name="Normal 4 2 2" xfId="153" xr:uid="{00000000-0005-0000-0000-000037010000}"/>
    <cellStyle name="Normal 4 2 2 2" xfId="177" xr:uid="{00000000-0005-0000-0000-000038010000}"/>
    <cellStyle name="Normal 4 2 2 2 2" xfId="206" xr:uid="{00000000-0005-0000-0000-000039010000}"/>
    <cellStyle name="Normal 4 2 2 2 2 2" xfId="300" xr:uid="{00000000-0005-0000-0000-00003A010000}"/>
    <cellStyle name="Normal 4 2 2 2 2 2 2" xfId="402" xr:uid="{00000000-0005-0000-0000-00003B010000}"/>
    <cellStyle name="Normal 4 2 2 2 2 2_BOM- With Mfg part #" xfId="711" xr:uid="{00000000-0005-0000-0000-00003C010000}"/>
    <cellStyle name="Normal 4 2 2 2 2 3" xfId="403" xr:uid="{00000000-0005-0000-0000-00003D010000}"/>
    <cellStyle name="Normal 4 2 2 2 2 4" xfId="574" xr:uid="{00000000-0005-0000-0000-00003E010000}"/>
    <cellStyle name="Normal 4 2 2 2 2 5" xfId="662" xr:uid="{00000000-0005-0000-0000-00003F010000}"/>
    <cellStyle name="Normal 4 2 2 2 2_BOM- With Mfg part #" xfId="710" xr:uid="{00000000-0005-0000-0000-000040010000}"/>
    <cellStyle name="Normal 4 2 2 2 3" xfId="205" xr:uid="{00000000-0005-0000-0000-000041010000}"/>
    <cellStyle name="Normal 4 2 2 2 3 2" xfId="299" xr:uid="{00000000-0005-0000-0000-000042010000}"/>
    <cellStyle name="Normal 4 2 2 2 3 2 2" xfId="404" xr:uid="{00000000-0005-0000-0000-000043010000}"/>
    <cellStyle name="Normal 4 2 2 2 3 2_BOM- With Mfg part #" xfId="713" xr:uid="{00000000-0005-0000-0000-000044010000}"/>
    <cellStyle name="Normal 4 2 2 2 3 3" xfId="405" xr:uid="{00000000-0005-0000-0000-000045010000}"/>
    <cellStyle name="Normal 4 2 2 2 3 4" xfId="573" xr:uid="{00000000-0005-0000-0000-000046010000}"/>
    <cellStyle name="Normal 4 2 2 2 3 5" xfId="661" xr:uid="{00000000-0005-0000-0000-000047010000}"/>
    <cellStyle name="Normal 4 2 2 2 3_BOM- With Mfg part #" xfId="712" xr:uid="{00000000-0005-0000-0000-000048010000}"/>
    <cellStyle name="Normal 4 2 2 2 4" xfId="273" xr:uid="{00000000-0005-0000-0000-000049010000}"/>
    <cellStyle name="Normal 4 2 2 2 4 2" xfId="406" xr:uid="{00000000-0005-0000-0000-00004A010000}"/>
    <cellStyle name="Normal 4 2 2 2 4_BOM- With Mfg part #" xfId="714" xr:uid="{00000000-0005-0000-0000-00004B010000}"/>
    <cellStyle name="Normal 4 2 2 2 5" xfId="407" xr:uid="{00000000-0005-0000-0000-00004C010000}"/>
    <cellStyle name="Normal 4 2 2 2 6" xfId="547" xr:uid="{00000000-0005-0000-0000-00004D010000}"/>
    <cellStyle name="Normal 4 2 2 2 7" xfId="635" xr:uid="{00000000-0005-0000-0000-00004E010000}"/>
    <cellStyle name="Normal 4 2 2 2_BOM- With Mfg part #" xfId="709" xr:uid="{00000000-0005-0000-0000-00004F010000}"/>
    <cellStyle name="Normal 4 2 2 3" xfId="207" xr:uid="{00000000-0005-0000-0000-000050010000}"/>
    <cellStyle name="Normal 4 2 2 3 2" xfId="301" xr:uid="{00000000-0005-0000-0000-000051010000}"/>
    <cellStyle name="Normal 4 2 2 3 2 2" xfId="408" xr:uid="{00000000-0005-0000-0000-000052010000}"/>
    <cellStyle name="Normal 4 2 2 3 2_BOM- With Mfg part #" xfId="716" xr:uid="{00000000-0005-0000-0000-000053010000}"/>
    <cellStyle name="Normal 4 2 2 3 3" xfId="409" xr:uid="{00000000-0005-0000-0000-000054010000}"/>
    <cellStyle name="Normal 4 2 2 3 4" xfId="575" xr:uid="{00000000-0005-0000-0000-000055010000}"/>
    <cellStyle name="Normal 4 2 2 3 5" xfId="663" xr:uid="{00000000-0005-0000-0000-000056010000}"/>
    <cellStyle name="Normal 4 2 2 3_BOM- With Mfg part #" xfId="715" xr:uid="{00000000-0005-0000-0000-000057010000}"/>
    <cellStyle name="Normal 4 2 2 4" xfId="204" xr:uid="{00000000-0005-0000-0000-000058010000}"/>
    <cellStyle name="Normal 4 2 2 4 2" xfId="298" xr:uid="{00000000-0005-0000-0000-000059010000}"/>
    <cellStyle name="Normal 4 2 2 4 2 2" xfId="410" xr:uid="{00000000-0005-0000-0000-00005A010000}"/>
    <cellStyle name="Normal 4 2 2 4 2_BOM- With Mfg part #" xfId="718" xr:uid="{00000000-0005-0000-0000-00005B010000}"/>
    <cellStyle name="Normal 4 2 2 4 3" xfId="411" xr:uid="{00000000-0005-0000-0000-00005C010000}"/>
    <cellStyle name="Normal 4 2 2 4 4" xfId="572" xr:uid="{00000000-0005-0000-0000-00005D010000}"/>
    <cellStyle name="Normal 4 2 2 4 5" xfId="660" xr:uid="{00000000-0005-0000-0000-00005E010000}"/>
    <cellStyle name="Normal 4 2 2 4_BOM- With Mfg part #" xfId="717" xr:uid="{00000000-0005-0000-0000-00005F010000}"/>
    <cellStyle name="Normal 4 2 2 5" xfId="258" xr:uid="{00000000-0005-0000-0000-000060010000}"/>
    <cellStyle name="Normal 4 2 2 5 2" xfId="412" xr:uid="{00000000-0005-0000-0000-000061010000}"/>
    <cellStyle name="Normal 4 2 2 5_BOM- With Mfg part #" xfId="719" xr:uid="{00000000-0005-0000-0000-000062010000}"/>
    <cellStyle name="Normal 4 2 2 6" xfId="413" xr:uid="{00000000-0005-0000-0000-000063010000}"/>
    <cellStyle name="Normal 4 2 2 7" xfId="532" xr:uid="{00000000-0005-0000-0000-000064010000}"/>
    <cellStyle name="Normal 4 2 2 8" xfId="620" xr:uid="{00000000-0005-0000-0000-000065010000}"/>
    <cellStyle name="Normal 4 2 2_BOM- With Mfg part #" xfId="708" xr:uid="{00000000-0005-0000-0000-000066010000}"/>
    <cellStyle name="Normal 4 2 3" xfId="174" xr:uid="{00000000-0005-0000-0000-000067010000}"/>
    <cellStyle name="Normal 4 2 3 2" xfId="209" xr:uid="{00000000-0005-0000-0000-000068010000}"/>
    <cellStyle name="Normal 4 2 3 2 2" xfId="303" xr:uid="{00000000-0005-0000-0000-000069010000}"/>
    <cellStyle name="Normal 4 2 3 2 2 2" xfId="414" xr:uid="{00000000-0005-0000-0000-00006A010000}"/>
    <cellStyle name="Normal 4 2 3 2 2_BOM- With Mfg part #" xfId="722" xr:uid="{00000000-0005-0000-0000-00006B010000}"/>
    <cellStyle name="Normal 4 2 3 2 3" xfId="415" xr:uid="{00000000-0005-0000-0000-00006C010000}"/>
    <cellStyle name="Normal 4 2 3 2 4" xfId="577" xr:uid="{00000000-0005-0000-0000-00006D010000}"/>
    <cellStyle name="Normal 4 2 3 2 5" xfId="665" xr:uid="{00000000-0005-0000-0000-00006E010000}"/>
    <cellStyle name="Normal 4 2 3 2_BOM- With Mfg part #" xfId="721" xr:uid="{00000000-0005-0000-0000-00006F010000}"/>
    <cellStyle name="Normal 4 2 3 3" xfId="208" xr:uid="{00000000-0005-0000-0000-000070010000}"/>
    <cellStyle name="Normal 4 2 3 3 2" xfId="302" xr:uid="{00000000-0005-0000-0000-000071010000}"/>
    <cellStyle name="Normal 4 2 3 3 2 2" xfId="416" xr:uid="{00000000-0005-0000-0000-000072010000}"/>
    <cellStyle name="Normal 4 2 3 3 2_BOM- With Mfg part #" xfId="724" xr:uid="{00000000-0005-0000-0000-000073010000}"/>
    <cellStyle name="Normal 4 2 3 3 3" xfId="417" xr:uid="{00000000-0005-0000-0000-000074010000}"/>
    <cellStyle name="Normal 4 2 3 3 4" xfId="576" xr:uid="{00000000-0005-0000-0000-000075010000}"/>
    <cellStyle name="Normal 4 2 3 3 5" xfId="664" xr:uid="{00000000-0005-0000-0000-000076010000}"/>
    <cellStyle name="Normal 4 2 3 3_BOM- With Mfg part #" xfId="723" xr:uid="{00000000-0005-0000-0000-000077010000}"/>
    <cellStyle name="Normal 4 2 3 4" xfId="270" xr:uid="{00000000-0005-0000-0000-000078010000}"/>
    <cellStyle name="Normal 4 2 3 4 2" xfId="418" xr:uid="{00000000-0005-0000-0000-000079010000}"/>
    <cellStyle name="Normal 4 2 3 4_BOM- With Mfg part #" xfId="725" xr:uid="{00000000-0005-0000-0000-00007A010000}"/>
    <cellStyle name="Normal 4 2 3 5" xfId="419" xr:uid="{00000000-0005-0000-0000-00007B010000}"/>
    <cellStyle name="Normal 4 2 3 6" xfId="544" xr:uid="{00000000-0005-0000-0000-00007C010000}"/>
    <cellStyle name="Normal 4 2 3 7" xfId="632" xr:uid="{00000000-0005-0000-0000-00007D010000}"/>
    <cellStyle name="Normal 4 2 3_BOM- With Mfg part #" xfId="720" xr:uid="{00000000-0005-0000-0000-00007E010000}"/>
    <cellStyle name="Normal 4 2 4" xfId="210" xr:uid="{00000000-0005-0000-0000-00007F010000}"/>
    <cellStyle name="Normal 4 2 4 2" xfId="304" xr:uid="{00000000-0005-0000-0000-000080010000}"/>
    <cellStyle name="Normal 4 2 4 2 2" xfId="420" xr:uid="{00000000-0005-0000-0000-000081010000}"/>
    <cellStyle name="Normal 4 2 4 2_BOM- With Mfg part #" xfId="727" xr:uid="{00000000-0005-0000-0000-000082010000}"/>
    <cellStyle name="Normal 4 2 4 3" xfId="421" xr:uid="{00000000-0005-0000-0000-000083010000}"/>
    <cellStyle name="Normal 4 2 4 4" xfId="578" xr:uid="{00000000-0005-0000-0000-000084010000}"/>
    <cellStyle name="Normal 4 2 4 5" xfId="666" xr:uid="{00000000-0005-0000-0000-000085010000}"/>
    <cellStyle name="Normal 4 2 4_BOM- With Mfg part #" xfId="726" xr:uid="{00000000-0005-0000-0000-000086010000}"/>
    <cellStyle name="Normal 4 2 5" xfId="203" xr:uid="{00000000-0005-0000-0000-000087010000}"/>
    <cellStyle name="Normal 4 2 5 2" xfId="297" xr:uid="{00000000-0005-0000-0000-000088010000}"/>
    <cellStyle name="Normal 4 2 5 2 2" xfId="422" xr:uid="{00000000-0005-0000-0000-000089010000}"/>
    <cellStyle name="Normal 4 2 5 2_BOM- With Mfg part #" xfId="729" xr:uid="{00000000-0005-0000-0000-00008A010000}"/>
    <cellStyle name="Normal 4 2 5 3" xfId="423" xr:uid="{00000000-0005-0000-0000-00008B010000}"/>
    <cellStyle name="Normal 4 2 5 4" xfId="571" xr:uid="{00000000-0005-0000-0000-00008C010000}"/>
    <cellStyle name="Normal 4 2 5 5" xfId="659" xr:uid="{00000000-0005-0000-0000-00008D010000}"/>
    <cellStyle name="Normal 4 2 5_BOM- With Mfg part #" xfId="728" xr:uid="{00000000-0005-0000-0000-00008E010000}"/>
    <cellStyle name="Normal 4 2 6" xfId="255" xr:uid="{00000000-0005-0000-0000-00008F010000}"/>
    <cellStyle name="Normal 4 2 6 2" xfId="424" xr:uid="{00000000-0005-0000-0000-000090010000}"/>
    <cellStyle name="Normal 4 2 6_BOM- With Mfg part #" xfId="730" xr:uid="{00000000-0005-0000-0000-000091010000}"/>
    <cellStyle name="Normal 4 2 7" xfId="425" xr:uid="{00000000-0005-0000-0000-000092010000}"/>
    <cellStyle name="Normal 4 2 8" xfId="529" xr:uid="{00000000-0005-0000-0000-000093010000}"/>
    <cellStyle name="Normal 4 2 9" xfId="617" xr:uid="{00000000-0005-0000-0000-000094010000}"/>
    <cellStyle name="Normal 4 2_BOM- With Mfg part #" xfId="707" xr:uid="{00000000-0005-0000-0000-000095010000}"/>
    <cellStyle name="Normal 4 3" xfId="93" xr:uid="{00000000-0005-0000-0000-000096010000}"/>
    <cellStyle name="Normal 4 3 10" xfId="614" xr:uid="{00000000-0005-0000-0000-000097010000}"/>
    <cellStyle name="Normal 4 3 2" xfId="162" xr:uid="{00000000-0005-0000-0000-000098010000}"/>
    <cellStyle name="Normal 4 3 2 2" xfId="181" xr:uid="{00000000-0005-0000-0000-000099010000}"/>
    <cellStyle name="Normal 4 3 2 2 2" xfId="214" xr:uid="{00000000-0005-0000-0000-00009A010000}"/>
    <cellStyle name="Normal 4 3 2 2 2 2" xfId="308" xr:uid="{00000000-0005-0000-0000-00009B010000}"/>
    <cellStyle name="Normal 4 3 2 2 2 2 2" xfId="426" xr:uid="{00000000-0005-0000-0000-00009C010000}"/>
    <cellStyle name="Normal 4 3 2 2 2 2_BOM- With Mfg part #" xfId="735" xr:uid="{00000000-0005-0000-0000-00009D010000}"/>
    <cellStyle name="Normal 4 3 2 2 2 3" xfId="427" xr:uid="{00000000-0005-0000-0000-00009E010000}"/>
    <cellStyle name="Normal 4 3 2 2 2 4" xfId="582" xr:uid="{00000000-0005-0000-0000-00009F010000}"/>
    <cellStyle name="Normal 4 3 2 2 2 5" xfId="670" xr:uid="{00000000-0005-0000-0000-0000A0010000}"/>
    <cellStyle name="Normal 4 3 2 2 2_BOM- With Mfg part #" xfId="734" xr:uid="{00000000-0005-0000-0000-0000A1010000}"/>
    <cellStyle name="Normal 4 3 2 2 3" xfId="213" xr:uid="{00000000-0005-0000-0000-0000A2010000}"/>
    <cellStyle name="Normal 4 3 2 2 3 2" xfId="307" xr:uid="{00000000-0005-0000-0000-0000A3010000}"/>
    <cellStyle name="Normal 4 3 2 2 3 2 2" xfId="428" xr:uid="{00000000-0005-0000-0000-0000A4010000}"/>
    <cellStyle name="Normal 4 3 2 2 3 2_BOM- With Mfg part #" xfId="737" xr:uid="{00000000-0005-0000-0000-0000A5010000}"/>
    <cellStyle name="Normal 4 3 2 2 3 3" xfId="429" xr:uid="{00000000-0005-0000-0000-0000A6010000}"/>
    <cellStyle name="Normal 4 3 2 2 3 4" xfId="581" xr:uid="{00000000-0005-0000-0000-0000A7010000}"/>
    <cellStyle name="Normal 4 3 2 2 3 5" xfId="669" xr:uid="{00000000-0005-0000-0000-0000A8010000}"/>
    <cellStyle name="Normal 4 3 2 2 3_BOM- With Mfg part #" xfId="736" xr:uid="{00000000-0005-0000-0000-0000A9010000}"/>
    <cellStyle name="Normal 4 3 2 2 4" xfId="277" xr:uid="{00000000-0005-0000-0000-0000AA010000}"/>
    <cellStyle name="Normal 4 3 2 2 4 2" xfId="430" xr:uid="{00000000-0005-0000-0000-0000AB010000}"/>
    <cellStyle name="Normal 4 3 2 2 4_BOM- With Mfg part #" xfId="738" xr:uid="{00000000-0005-0000-0000-0000AC010000}"/>
    <cellStyle name="Normal 4 3 2 2 5" xfId="431" xr:uid="{00000000-0005-0000-0000-0000AD010000}"/>
    <cellStyle name="Normal 4 3 2 2 6" xfId="551" xr:uid="{00000000-0005-0000-0000-0000AE010000}"/>
    <cellStyle name="Normal 4 3 2 2 7" xfId="639" xr:uid="{00000000-0005-0000-0000-0000AF010000}"/>
    <cellStyle name="Normal 4 3 2 2_BOM- With Mfg part #" xfId="733" xr:uid="{00000000-0005-0000-0000-0000B0010000}"/>
    <cellStyle name="Normal 4 3 2 3" xfId="215" xr:uid="{00000000-0005-0000-0000-0000B1010000}"/>
    <cellStyle name="Normal 4 3 2 3 2" xfId="309" xr:uid="{00000000-0005-0000-0000-0000B2010000}"/>
    <cellStyle name="Normal 4 3 2 3 2 2" xfId="432" xr:uid="{00000000-0005-0000-0000-0000B3010000}"/>
    <cellStyle name="Normal 4 3 2 3 2_BOM- With Mfg part #" xfId="740" xr:uid="{00000000-0005-0000-0000-0000B4010000}"/>
    <cellStyle name="Normal 4 3 2 3 3" xfId="433" xr:uid="{00000000-0005-0000-0000-0000B5010000}"/>
    <cellStyle name="Normal 4 3 2 3 4" xfId="583" xr:uid="{00000000-0005-0000-0000-0000B6010000}"/>
    <cellStyle name="Normal 4 3 2 3 5" xfId="671" xr:uid="{00000000-0005-0000-0000-0000B7010000}"/>
    <cellStyle name="Normal 4 3 2 3_BOM- With Mfg part #" xfId="739" xr:uid="{00000000-0005-0000-0000-0000B8010000}"/>
    <cellStyle name="Normal 4 3 2 4" xfId="212" xr:uid="{00000000-0005-0000-0000-0000B9010000}"/>
    <cellStyle name="Normal 4 3 2 4 2" xfId="306" xr:uid="{00000000-0005-0000-0000-0000BA010000}"/>
    <cellStyle name="Normal 4 3 2 4 2 2" xfId="434" xr:uid="{00000000-0005-0000-0000-0000BB010000}"/>
    <cellStyle name="Normal 4 3 2 4 2_BOM- With Mfg part #" xfId="742" xr:uid="{00000000-0005-0000-0000-0000BC010000}"/>
    <cellStyle name="Normal 4 3 2 4 3" xfId="435" xr:uid="{00000000-0005-0000-0000-0000BD010000}"/>
    <cellStyle name="Normal 4 3 2 4 4" xfId="580" xr:uid="{00000000-0005-0000-0000-0000BE010000}"/>
    <cellStyle name="Normal 4 3 2 4 5" xfId="668" xr:uid="{00000000-0005-0000-0000-0000BF010000}"/>
    <cellStyle name="Normal 4 3 2 4_BOM- With Mfg part #" xfId="741" xr:uid="{00000000-0005-0000-0000-0000C0010000}"/>
    <cellStyle name="Normal 4 3 2 5" xfId="262" xr:uid="{00000000-0005-0000-0000-0000C1010000}"/>
    <cellStyle name="Normal 4 3 2 5 2" xfId="436" xr:uid="{00000000-0005-0000-0000-0000C2010000}"/>
    <cellStyle name="Normal 4 3 2 5_BOM- With Mfg part #" xfId="743" xr:uid="{00000000-0005-0000-0000-0000C3010000}"/>
    <cellStyle name="Normal 4 3 2 6" xfId="437" xr:uid="{00000000-0005-0000-0000-0000C4010000}"/>
    <cellStyle name="Normal 4 3 2 7" xfId="536" xr:uid="{00000000-0005-0000-0000-0000C5010000}"/>
    <cellStyle name="Normal 4 3 2 8" xfId="624" xr:uid="{00000000-0005-0000-0000-0000C6010000}"/>
    <cellStyle name="Normal 4 3 2_BOM- With Mfg part #" xfId="732" xr:uid="{00000000-0005-0000-0000-0000C7010000}"/>
    <cellStyle name="Normal 4 3 3" xfId="154" xr:uid="{00000000-0005-0000-0000-0000C8010000}"/>
    <cellStyle name="Normal 4 3 4" xfId="171" xr:uid="{00000000-0005-0000-0000-0000C9010000}"/>
    <cellStyle name="Normal 4 3 4 2" xfId="217" xr:uid="{00000000-0005-0000-0000-0000CA010000}"/>
    <cellStyle name="Normal 4 3 4 2 2" xfId="311" xr:uid="{00000000-0005-0000-0000-0000CB010000}"/>
    <cellStyle name="Normal 4 3 4 2 2 2" xfId="438" xr:uid="{00000000-0005-0000-0000-0000CC010000}"/>
    <cellStyle name="Normal 4 3 4 2 2_BOM- With Mfg part #" xfId="746" xr:uid="{00000000-0005-0000-0000-0000CD010000}"/>
    <cellStyle name="Normal 4 3 4 2 3" xfId="439" xr:uid="{00000000-0005-0000-0000-0000CE010000}"/>
    <cellStyle name="Normal 4 3 4 2 4" xfId="585" xr:uid="{00000000-0005-0000-0000-0000CF010000}"/>
    <cellStyle name="Normal 4 3 4 2 5" xfId="673" xr:uid="{00000000-0005-0000-0000-0000D0010000}"/>
    <cellStyle name="Normal 4 3 4 2_BOM- With Mfg part #" xfId="745" xr:uid="{00000000-0005-0000-0000-0000D1010000}"/>
    <cellStyle name="Normal 4 3 4 3" xfId="216" xr:uid="{00000000-0005-0000-0000-0000D2010000}"/>
    <cellStyle name="Normal 4 3 4 3 2" xfId="310" xr:uid="{00000000-0005-0000-0000-0000D3010000}"/>
    <cellStyle name="Normal 4 3 4 3 2 2" xfId="440" xr:uid="{00000000-0005-0000-0000-0000D4010000}"/>
    <cellStyle name="Normal 4 3 4 3 2_BOM- With Mfg part #" xfId="748" xr:uid="{00000000-0005-0000-0000-0000D5010000}"/>
    <cellStyle name="Normal 4 3 4 3 3" xfId="441" xr:uid="{00000000-0005-0000-0000-0000D6010000}"/>
    <cellStyle name="Normal 4 3 4 3 4" xfId="584" xr:uid="{00000000-0005-0000-0000-0000D7010000}"/>
    <cellStyle name="Normal 4 3 4 3 5" xfId="672" xr:uid="{00000000-0005-0000-0000-0000D8010000}"/>
    <cellStyle name="Normal 4 3 4 3_BOM- With Mfg part #" xfId="747" xr:uid="{00000000-0005-0000-0000-0000D9010000}"/>
    <cellStyle name="Normal 4 3 4 4" xfId="267" xr:uid="{00000000-0005-0000-0000-0000DA010000}"/>
    <cellStyle name="Normal 4 3 4 4 2" xfId="442" xr:uid="{00000000-0005-0000-0000-0000DB010000}"/>
    <cellStyle name="Normal 4 3 4 4_BOM- With Mfg part #" xfId="749" xr:uid="{00000000-0005-0000-0000-0000DC010000}"/>
    <cellStyle name="Normal 4 3 4 5" xfId="443" xr:uid="{00000000-0005-0000-0000-0000DD010000}"/>
    <cellStyle name="Normal 4 3 4 6" xfId="541" xr:uid="{00000000-0005-0000-0000-0000DE010000}"/>
    <cellStyle name="Normal 4 3 4 7" xfId="629" xr:uid="{00000000-0005-0000-0000-0000DF010000}"/>
    <cellStyle name="Normal 4 3 4_BOM- With Mfg part #" xfId="744" xr:uid="{00000000-0005-0000-0000-0000E0010000}"/>
    <cellStyle name="Normal 4 3 5" xfId="218" xr:uid="{00000000-0005-0000-0000-0000E1010000}"/>
    <cellStyle name="Normal 4 3 5 2" xfId="312" xr:uid="{00000000-0005-0000-0000-0000E2010000}"/>
    <cellStyle name="Normal 4 3 5 2 2" xfId="444" xr:uid="{00000000-0005-0000-0000-0000E3010000}"/>
    <cellStyle name="Normal 4 3 5 2_BOM- With Mfg part #" xfId="751" xr:uid="{00000000-0005-0000-0000-0000E4010000}"/>
    <cellStyle name="Normal 4 3 5 3" xfId="445" xr:uid="{00000000-0005-0000-0000-0000E5010000}"/>
    <cellStyle name="Normal 4 3 5 4" xfId="586" xr:uid="{00000000-0005-0000-0000-0000E6010000}"/>
    <cellStyle name="Normal 4 3 5 5" xfId="674" xr:uid="{00000000-0005-0000-0000-0000E7010000}"/>
    <cellStyle name="Normal 4 3 5_BOM- With Mfg part #" xfId="750" xr:uid="{00000000-0005-0000-0000-0000E8010000}"/>
    <cellStyle name="Normal 4 3 6" xfId="211" xr:uid="{00000000-0005-0000-0000-0000E9010000}"/>
    <cellStyle name="Normal 4 3 6 2" xfId="305" xr:uid="{00000000-0005-0000-0000-0000EA010000}"/>
    <cellStyle name="Normal 4 3 6 2 2" xfId="446" xr:uid="{00000000-0005-0000-0000-0000EB010000}"/>
    <cellStyle name="Normal 4 3 6 2_BOM- With Mfg part #" xfId="753" xr:uid="{00000000-0005-0000-0000-0000EC010000}"/>
    <cellStyle name="Normal 4 3 6 3" xfId="447" xr:uid="{00000000-0005-0000-0000-0000ED010000}"/>
    <cellStyle name="Normal 4 3 6 4" xfId="579" xr:uid="{00000000-0005-0000-0000-0000EE010000}"/>
    <cellStyle name="Normal 4 3 6 5" xfId="667" xr:uid="{00000000-0005-0000-0000-0000EF010000}"/>
    <cellStyle name="Normal 4 3 6_BOM- With Mfg part #" xfId="752" xr:uid="{00000000-0005-0000-0000-0000F0010000}"/>
    <cellStyle name="Normal 4 3 7" xfId="252" xr:uid="{00000000-0005-0000-0000-0000F1010000}"/>
    <cellStyle name="Normal 4 3 7 2" xfId="448" xr:uid="{00000000-0005-0000-0000-0000F2010000}"/>
    <cellStyle name="Normal 4 3 7_BOM- With Mfg part #" xfId="754" xr:uid="{00000000-0005-0000-0000-0000F3010000}"/>
    <cellStyle name="Normal 4 3 8" xfId="449" xr:uid="{00000000-0005-0000-0000-0000F4010000}"/>
    <cellStyle name="Normal 4 3 9" xfId="526" xr:uid="{00000000-0005-0000-0000-0000F5010000}"/>
    <cellStyle name="Normal 4 3_BOM- With Mfg part #" xfId="731" xr:uid="{00000000-0005-0000-0000-0000F6010000}"/>
    <cellStyle name="Normal 4 4" xfId="152" xr:uid="{00000000-0005-0000-0000-0000F7010000}"/>
    <cellStyle name="Normal 4 4 2" xfId="176" xr:uid="{00000000-0005-0000-0000-0000F8010000}"/>
    <cellStyle name="Normal 4 4 2 2" xfId="221" xr:uid="{00000000-0005-0000-0000-0000F9010000}"/>
    <cellStyle name="Normal 4 4 2 2 2" xfId="315" xr:uid="{00000000-0005-0000-0000-0000FA010000}"/>
    <cellStyle name="Normal 4 4 2 2 2 2" xfId="450" xr:uid="{00000000-0005-0000-0000-0000FB010000}"/>
    <cellStyle name="Normal 4 4 2 2 2_BOM- With Mfg part #" xfId="758" xr:uid="{00000000-0005-0000-0000-0000FC010000}"/>
    <cellStyle name="Normal 4 4 2 2 3" xfId="451" xr:uid="{00000000-0005-0000-0000-0000FD010000}"/>
    <cellStyle name="Normal 4 4 2 2 4" xfId="589" xr:uid="{00000000-0005-0000-0000-0000FE010000}"/>
    <cellStyle name="Normal 4 4 2 2 5" xfId="677" xr:uid="{00000000-0005-0000-0000-0000FF010000}"/>
    <cellStyle name="Normal 4 4 2 2_BOM- With Mfg part #" xfId="757" xr:uid="{00000000-0005-0000-0000-000000020000}"/>
    <cellStyle name="Normal 4 4 2 3" xfId="220" xr:uid="{00000000-0005-0000-0000-000001020000}"/>
    <cellStyle name="Normal 4 4 2 3 2" xfId="314" xr:uid="{00000000-0005-0000-0000-000002020000}"/>
    <cellStyle name="Normal 4 4 2 3 2 2" xfId="452" xr:uid="{00000000-0005-0000-0000-000003020000}"/>
    <cellStyle name="Normal 4 4 2 3 2_BOM- With Mfg part #" xfId="760" xr:uid="{00000000-0005-0000-0000-000004020000}"/>
    <cellStyle name="Normal 4 4 2 3 3" xfId="453" xr:uid="{00000000-0005-0000-0000-000005020000}"/>
    <cellStyle name="Normal 4 4 2 3 4" xfId="588" xr:uid="{00000000-0005-0000-0000-000006020000}"/>
    <cellStyle name="Normal 4 4 2 3 5" xfId="676" xr:uid="{00000000-0005-0000-0000-000007020000}"/>
    <cellStyle name="Normal 4 4 2 3_BOM- With Mfg part #" xfId="759" xr:uid="{00000000-0005-0000-0000-000008020000}"/>
    <cellStyle name="Normal 4 4 2 4" xfId="272" xr:uid="{00000000-0005-0000-0000-000009020000}"/>
    <cellStyle name="Normal 4 4 2 4 2" xfId="454" xr:uid="{00000000-0005-0000-0000-00000A020000}"/>
    <cellStyle name="Normal 4 4 2 4_BOM- With Mfg part #" xfId="761" xr:uid="{00000000-0005-0000-0000-00000B020000}"/>
    <cellStyle name="Normal 4 4 2 5" xfId="455" xr:uid="{00000000-0005-0000-0000-00000C020000}"/>
    <cellStyle name="Normal 4 4 2 6" xfId="546" xr:uid="{00000000-0005-0000-0000-00000D020000}"/>
    <cellStyle name="Normal 4 4 2 7" xfId="634" xr:uid="{00000000-0005-0000-0000-00000E020000}"/>
    <cellStyle name="Normal 4 4 2_BOM- With Mfg part #" xfId="756" xr:uid="{00000000-0005-0000-0000-00000F020000}"/>
    <cellStyle name="Normal 4 4 3" xfId="222" xr:uid="{00000000-0005-0000-0000-000010020000}"/>
    <cellStyle name="Normal 4 4 3 2" xfId="316" xr:uid="{00000000-0005-0000-0000-000011020000}"/>
    <cellStyle name="Normal 4 4 3 2 2" xfId="456" xr:uid="{00000000-0005-0000-0000-000012020000}"/>
    <cellStyle name="Normal 4 4 3 2_BOM- With Mfg part #" xfId="763" xr:uid="{00000000-0005-0000-0000-000013020000}"/>
    <cellStyle name="Normal 4 4 3 3" xfId="457" xr:uid="{00000000-0005-0000-0000-000014020000}"/>
    <cellStyle name="Normal 4 4 3 4" xfId="590" xr:uid="{00000000-0005-0000-0000-000015020000}"/>
    <cellStyle name="Normal 4 4 3 5" xfId="678" xr:uid="{00000000-0005-0000-0000-000016020000}"/>
    <cellStyle name="Normal 4 4 3_BOM- With Mfg part #" xfId="762" xr:uid="{00000000-0005-0000-0000-000017020000}"/>
    <cellStyle name="Normal 4 4 4" xfId="219" xr:uid="{00000000-0005-0000-0000-000018020000}"/>
    <cellStyle name="Normal 4 4 4 2" xfId="313" xr:uid="{00000000-0005-0000-0000-000019020000}"/>
    <cellStyle name="Normal 4 4 4 2 2" xfId="458" xr:uid="{00000000-0005-0000-0000-00001A020000}"/>
    <cellStyle name="Normal 4 4 4 2_BOM- With Mfg part #" xfId="765" xr:uid="{00000000-0005-0000-0000-00001B020000}"/>
    <cellStyle name="Normal 4 4 4 3" xfId="459" xr:uid="{00000000-0005-0000-0000-00001C020000}"/>
    <cellStyle name="Normal 4 4 4 4" xfId="587" xr:uid="{00000000-0005-0000-0000-00001D020000}"/>
    <cellStyle name="Normal 4 4 4 5" xfId="675" xr:uid="{00000000-0005-0000-0000-00001E020000}"/>
    <cellStyle name="Normal 4 4 4_BOM- With Mfg part #" xfId="764" xr:uid="{00000000-0005-0000-0000-00001F020000}"/>
    <cellStyle name="Normal 4 4 5" xfId="257" xr:uid="{00000000-0005-0000-0000-000020020000}"/>
    <cellStyle name="Normal 4 4 5 2" xfId="460" xr:uid="{00000000-0005-0000-0000-000021020000}"/>
    <cellStyle name="Normal 4 4 5_BOM- With Mfg part #" xfId="766" xr:uid="{00000000-0005-0000-0000-000022020000}"/>
    <cellStyle name="Normal 4 4 6" xfId="461" xr:uid="{00000000-0005-0000-0000-000023020000}"/>
    <cellStyle name="Normal 4 4 7" xfId="531" xr:uid="{00000000-0005-0000-0000-000024020000}"/>
    <cellStyle name="Normal 4 4 8" xfId="619" xr:uid="{00000000-0005-0000-0000-000025020000}"/>
    <cellStyle name="Normal 4 4_BOM- With Mfg part #" xfId="755" xr:uid="{00000000-0005-0000-0000-000026020000}"/>
    <cellStyle name="Normal 4 5" xfId="168" xr:uid="{00000000-0005-0000-0000-000027020000}"/>
    <cellStyle name="Normal 4 5 2" xfId="224" xr:uid="{00000000-0005-0000-0000-000028020000}"/>
    <cellStyle name="Normal 4 5 2 2" xfId="318" xr:uid="{00000000-0005-0000-0000-000029020000}"/>
    <cellStyle name="Normal 4 5 2 2 2" xfId="462" xr:uid="{00000000-0005-0000-0000-00002A020000}"/>
    <cellStyle name="Normal 4 5 2 2_BOM- With Mfg part #" xfId="769" xr:uid="{00000000-0005-0000-0000-00002B020000}"/>
    <cellStyle name="Normal 4 5 2 3" xfId="463" xr:uid="{00000000-0005-0000-0000-00002C020000}"/>
    <cellStyle name="Normal 4 5 2 4" xfId="592" xr:uid="{00000000-0005-0000-0000-00002D020000}"/>
    <cellStyle name="Normal 4 5 2 5" xfId="680" xr:uid="{00000000-0005-0000-0000-00002E020000}"/>
    <cellStyle name="Normal 4 5 2_BOM- With Mfg part #" xfId="768" xr:uid="{00000000-0005-0000-0000-00002F020000}"/>
    <cellStyle name="Normal 4 5 3" xfId="223" xr:uid="{00000000-0005-0000-0000-000030020000}"/>
    <cellStyle name="Normal 4 5 3 2" xfId="317" xr:uid="{00000000-0005-0000-0000-000031020000}"/>
    <cellStyle name="Normal 4 5 3 2 2" xfId="464" xr:uid="{00000000-0005-0000-0000-000032020000}"/>
    <cellStyle name="Normal 4 5 3 2_BOM- With Mfg part #" xfId="771" xr:uid="{00000000-0005-0000-0000-000033020000}"/>
    <cellStyle name="Normal 4 5 3 3" xfId="465" xr:uid="{00000000-0005-0000-0000-000034020000}"/>
    <cellStyle name="Normal 4 5 3 4" xfId="591" xr:uid="{00000000-0005-0000-0000-000035020000}"/>
    <cellStyle name="Normal 4 5 3 5" xfId="679" xr:uid="{00000000-0005-0000-0000-000036020000}"/>
    <cellStyle name="Normal 4 5 3_BOM- With Mfg part #" xfId="770" xr:uid="{00000000-0005-0000-0000-000037020000}"/>
    <cellStyle name="Normal 4 5 4" xfId="264" xr:uid="{00000000-0005-0000-0000-000038020000}"/>
    <cellStyle name="Normal 4 5 4 2" xfId="466" xr:uid="{00000000-0005-0000-0000-000039020000}"/>
    <cellStyle name="Normal 4 5 4_BOM- With Mfg part #" xfId="772" xr:uid="{00000000-0005-0000-0000-00003A020000}"/>
    <cellStyle name="Normal 4 5 5" xfId="467" xr:uid="{00000000-0005-0000-0000-00003B020000}"/>
    <cellStyle name="Normal 4 5 6" xfId="538" xr:uid="{00000000-0005-0000-0000-00003C020000}"/>
    <cellStyle name="Normal 4 5 7" xfId="626" xr:uid="{00000000-0005-0000-0000-00003D020000}"/>
    <cellStyle name="Normal 4 5_BOM- With Mfg part #" xfId="767" xr:uid="{00000000-0005-0000-0000-00003E020000}"/>
    <cellStyle name="Normal 4 6" xfId="225" xr:uid="{00000000-0005-0000-0000-00003F020000}"/>
    <cellStyle name="Normal 4 6 2" xfId="319" xr:uid="{00000000-0005-0000-0000-000040020000}"/>
    <cellStyle name="Normal 4 6 2 2" xfId="468" xr:uid="{00000000-0005-0000-0000-000041020000}"/>
    <cellStyle name="Normal 4 6 2_BOM- With Mfg part #" xfId="774" xr:uid="{00000000-0005-0000-0000-000042020000}"/>
    <cellStyle name="Normal 4 6 3" xfId="469" xr:uid="{00000000-0005-0000-0000-000043020000}"/>
    <cellStyle name="Normal 4 6 4" xfId="593" xr:uid="{00000000-0005-0000-0000-000044020000}"/>
    <cellStyle name="Normal 4 6 5" xfId="681" xr:uid="{00000000-0005-0000-0000-000045020000}"/>
    <cellStyle name="Normal 4 6_BOM- With Mfg part #" xfId="773" xr:uid="{00000000-0005-0000-0000-000046020000}"/>
    <cellStyle name="Normal 4 7" xfId="202" xr:uid="{00000000-0005-0000-0000-000047020000}"/>
    <cellStyle name="Normal 4 7 2" xfId="296" xr:uid="{00000000-0005-0000-0000-000048020000}"/>
    <cellStyle name="Normal 4 7 2 2" xfId="470" xr:uid="{00000000-0005-0000-0000-000049020000}"/>
    <cellStyle name="Normal 4 7 2_BOM- With Mfg part #" xfId="776" xr:uid="{00000000-0005-0000-0000-00004A020000}"/>
    <cellStyle name="Normal 4 7 3" xfId="471" xr:uid="{00000000-0005-0000-0000-00004B020000}"/>
    <cellStyle name="Normal 4 7 4" xfId="570" xr:uid="{00000000-0005-0000-0000-00004C020000}"/>
    <cellStyle name="Normal 4 7 5" xfId="658" xr:uid="{00000000-0005-0000-0000-00004D020000}"/>
    <cellStyle name="Normal 4 7_BOM- With Mfg part #" xfId="775" xr:uid="{00000000-0005-0000-0000-00004E020000}"/>
    <cellStyle name="Normal 4 8" xfId="249" xr:uid="{00000000-0005-0000-0000-00004F020000}"/>
    <cellStyle name="Normal 4 8 2" xfId="472" xr:uid="{00000000-0005-0000-0000-000050020000}"/>
    <cellStyle name="Normal 4 8_BOM- With Mfg part #" xfId="777" xr:uid="{00000000-0005-0000-0000-000051020000}"/>
    <cellStyle name="Normal 4 9" xfId="473" xr:uid="{00000000-0005-0000-0000-000052020000}"/>
    <cellStyle name="Normal 4_BOM- With Mfg part #" xfId="706" xr:uid="{00000000-0005-0000-0000-000053020000}"/>
    <cellStyle name="Normal 40" xfId="79" xr:uid="{00000000-0005-0000-0000-000054020000}"/>
    <cellStyle name="Normal 41" xfId="847" xr:uid="{00000000-0005-0000-0000-000055020000}"/>
    <cellStyle name="Normal 41 2" xfId="872" xr:uid="{00000000-0005-0000-0000-000056020000}"/>
    <cellStyle name="Normal 41 3" xfId="870" xr:uid="{00000000-0005-0000-0000-000057020000}"/>
    <cellStyle name="Normal 42" xfId="851" xr:uid="{00000000-0005-0000-0000-000058020000}"/>
    <cellStyle name="Normal 42 2" xfId="873" xr:uid="{00000000-0005-0000-0000-000059020000}"/>
    <cellStyle name="Normal 42 3" xfId="871" xr:uid="{00000000-0005-0000-0000-00005A020000}"/>
    <cellStyle name="Normal 43" xfId="857" xr:uid="{00000000-0005-0000-0000-00005B020000}"/>
    <cellStyle name="Normal 43 2" xfId="875" xr:uid="{00000000-0005-0000-0000-00005B020000}"/>
    <cellStyle name="Normal 5" xfId="89" xr:uid="{00000000-0005-0000-0000-00005C020000}"/>
    <cellStyle name="Normal 5 2" xfId="846" xr:uid="{00000000-0005-0000-0000-00005D020000}"/>
    <cellStyle name="Normal 5 3" xfId="845" xr:uid="{00000000-0005-0000-0000-00005E020000}"/>
    <cellStyle name="Normal 6" xfId="94" xr:uid="{00000000-0005-0000-0000-00005F020000}"/>
    <cellStyle name="Normal 6 10" xfId="615" xr:uid="{00000000-0005-0000-0000-000060020000}"/>
    <cellStyle name="Normal 6 2" xfId="156" xr:uid="{00000000-0005-0000-0000-000061020000}"/>
    <cellStyle name="Normal 6 3" xfId="155" xr:uid="{00000000-0005-0000-0000-000062020000}"/>
    <cellStyle name="Normal 6 3 2" xfId="178" xr:uid="{00000000-0005-0000-0000-000063020000}"/>
    <cellStyle name="Normal 6 3 2 2" xfId="229" xr:uid="{00000000-0005-0000-0000-000064020000}"/>
    <cellStyle name="Normal 6 3 2 2 2" xfId="323" xr:uid="{00000000-0005-0000-0000-000065020000}"/>
    <cellStyle name="Normal 6 3 2 2 2 2" xfId="474" xr:uid="{00000000-0005-0000-0000-000066020000}"/>
    <cellStyle name="Normal 6 3 2 2 2_BOM- With Mfg part #" xfId="782" xr:uid="{00000000-0005-0000-0000-000067020000}"/>
    <cellStyle name="Normal 6 3 2 2 3" xfId="475" xr:uid="{00000000-0005-0000-0000-000068020000}"/>
    <cellStyle name="Normal 6 3 2 2 4" xfId="597" xr:uid="{00000000-0005-0000-0000-000069020000}"/>
    <cellStyle name="Normal 6 3 2 2 5" xfId="685" xr:uid="{00000000-0005-0000-0000-00006A020000}"/>
    <cellStyle name="Normal 6 3 2 2_BOM- With Mfg part #" xfId="781" xr:uid="{00000000-0005-0000-0000-00006B020000}"/>
    <cellStyle name="Normal 6 3 2 3" xfId="228" xr:uid="{00000000-0005-0000-0000-00006C020000}"/>
    <cellStyle name="Normal 6 3 2 3 2" xfId="322" xr:uid="{00000000-0005-0000-0000-00006D020000}"/>
    <cellStyle name="Normal 6 3 2 3 2 2" xfId="476" xr:uid="{00000000-0005-0000-0000-00006E020000}"/>
    <cellStyle name="Normal 6 3 2 3 2_BOM- With Mfg part #" xfId="784" xr:uid="{00000000-0005-0000-0000-00006F020000}"/>
    <cellStyle name="Normal 6 3 2 3 3" xfId="477" xr:uid="{00000000-0005-0000-0000-000070020000}"/>
    <cellStyle name="Normal 6 3 2 3 4" xfId="596" xr:uid="{00000000-0005-0000-0000-000071020000}"/>
    <cellStyle name="Normal 6 3 2 3 5" xfId="684" xr:uid="{00000000-0005-0000-0000-000072020000}"/>
    <cellStyle name="Normal 6 3 2 3_BOM- With Mfg part #" xfId="783" xr:uid="{00000000-0005-0000-0000-000073020000}"/>
    <cellStyle name="Normal 6 3 2 4" xfId="274" xr:uid="{00000000-0005-0000-0000-000074020000}"/>
    <cellStyle name="Normal 6 3 2 4 2" xfId="478" xr:uid="{00000000-0005-0000-0000-000075020000}"/>
    <cellStyle name="Normal 6 3 2 4_BOM- With Mfg part #" xfId="785" xr:uid="{00000000-0005-0000-0000-000076020000}"/>
    <cellStyle name="Normal 6 3 2 5" xfId="479" xr:uid="{00000000-0005-0000-0000-000077020000}"/>
    <cellStyle name="Normal 6 3 2 6" xfId="548" xr:uid="{00000000-0005-0000-0000-000078020000}"/>
    <cellStyle name="Normal 6 3 2 7" xfId="636" xr:uid="{00000000-0005-0000-0000-000079020000}"/>
    <cellStyle name="Normal 6 3 2_BOM- With Mfg part #" xfId="780" xr:uid="{00000000-0005-0000-0000-00007A020000}"/>
    <cellStyle name="Normal 6 3 3" xfId="230" xr:uid="{00000000-0005-0000-0000-00007B020000}"/>
    <cellStyle name="Normal 6 3 3 2" xfId="324" xr:uid="{00000000-0005-0000-0000-00007C020000}"/>
    <cellStyle name="Normal 6 3 3 2 2" xfId="480" xr:uid="{00000000-0005-0000-0000-00007D020000}"/>
    <cellStyle name="Normal 6 3 3 2_BOM- With Mfg part #" xfId="787" xr:uid="{00000000-0005-0000-0000-00007E020000}"/>
    <cellStyle name="Normal 6 3 3 3" xfId="481" xr:uid="{00000000-0005-0000-0000-00007F020000}"/>
    <cellStyle name="Normal 6 3 3 4" xfId="598" xr:uid="{00000000-0005-0000-0000-000080020000}"/>
    <cellStyle name="Normal 6 3 3 5" xfId="686" xr:uid="{00000000-0005-0000-0000-000081020000}"/>
    <cellStyle name="Normal 6 3 3_BOM- With Mfg part #" xfId="786" xr:uid="{00000000-0005-0000-0000-000082020000}"/>
    <cellStyle name="Normal 6 3 4" xfId="227" xr:uid="{00000000-0005-0000-0000-000083020000}"/>
    <cellStyle name="Normal 6 3 4 2" xfId="321" xr:uid="{00000000-0005-0000-0000-000084020000}"/>
    <cellStyle name="Normal 6 3 4 2 2" xfId="482" xr:uid="{00000000-0005-0000-0000-000085020000}"/>
    <cellStyle name="Normal 6 3 4 2_BOM- With Mfg part #" xfId="789" xr:uid="{00000000-0005-0000-0000-000086020000}"/>
    <cellStyle name="Normal 6 3 4 3" xfId="483" xr:uid="{00000000-0005-0000-0000-000087020000}"/>
    <cellStyle name="Normal 6 3 4 4" xfId="595" xr:uid="{00000000-0005-0000-0000-000088020000}"/>
    <cellStyle name="Normal 6 3 4 5" xfId="683" xr:uid="{00000000-0005-0000-0000-000089020000}"/>
    <cellStyle name="Normal 6 3 4_BOM- With Mfg part #" xfId="788" xr:uid="{00000000-0005-0000-0000-00008A020000}"/>
    <cellStyle name="Normal 6 3 5" xfId="259" xr:uid="{00000000-0005-0000-0000-00008B020000}"/>
    <cellStyle name="Normal 6 3 5 2" xfId="484" xr:uid="{00000000-0005-0000-0000-00008C020000}"/>
    <cellStyle name="Normal 6 3 5_BOM- With Mfg part #" xfId="790" xr:uid="{00000000-0005-0000-0000-00008D020000}"/>
    <cellStyle name="Normal 6 3 6" xfId="485" xr:uid="{00000000-0005-0000-0000-00008E020000}"/>
    <cellStyle name="Normal 6 3 7" xfId="533" xr:uid="{00000000-0005-0000-0000-00008F020000}"/>
    <cellStyle name="Normal 6 3 8" xfId="621" xr:uid="{00000000-0005-0000-0000-000090020000}"/>
    <cellStyle name="Normal 6 3_BOM- With Mfg part #" xfId="779" xr:uid="{00000000-0005-0000-0000-000091020000}"/>
    <cellStyle name="Normal 6 4" xfId="172" xr:uid="{00000000-0005-0000-0000-000092020000}"/>
    <cellStyle name="Normal 6 4 2" xfId="232" xr:uid="{00000000-0005-0000-0000-000093020000}"/>
    <cellStyle name="Normal 6 4 2 2" xfId="326" xr:uid="{00000000-0005-0000-0000-000094020000}"/>
    <cellStyle name="Normal 6 4 2 2 2" xfId="486" xr:uid="{00000000-0005-0000-0000-000095020000}"/>
    <cellStyle name="Normal 6 4 2 2_BOM- With Mfg part #" xfId="793" xr:uid="{00000000-0005-0000-0000-000096020000}"/>
    <cellStyle name="Normal 6 4 2 3" xfId="487" xr:uid="{00000000-0005-0000-0000-000097020000}"/>
    <cellStyle name="Normal 6 4 2 4" xfId="600" xr:uid="{00000000-0005-0000-0000-000098020000}"/>
    <cellStyle name="Normal 6 4 2 5" xfId="688" xr:uid="{00000000-0005-0000-0000-000099020000}"/>
    <cellStyle name="Normal 6 4 2_BOM- With Mfg part #" xfId="792" xr:uid="{00000000-0005-0000-0000-00009A020000}"/>
    <cellStyle name="Normal 6 4 3" xfId="231" xr:uid="{00000000-0005-0000-0000-00009B020000}"/>
    <cellStyle name="Normal 6 4 3 2" xfId="325" xr:uid="{00000000-0005-0000-0000-00009C020000}"/>
    <cellStyle name="Normal 6 4 3 2 2" xfId="488" xr:uid="{00000000-0005-0000-0000-00009D020000}"/>
    <cellStyle name="Normal 6 4 3 2_BOM- With Mfg part #" xfId="795" xr:uid="{00000000-0005-0000-0000-00009E020000}"/>
    <cellStyle name="Normal 6 4 3 3" xfId="489" xr:uid="{00000000-0005-0000-0000-00009F020000}"/>
    <cellStyle name="Normal 6 4 3 4" xfId="599" xr:uid="{00000000-0005-0000-0000-0000A0020000}"/>
    <cellStyle name="Normal 6 4 3 5" xfId="687" xr:uid="{00000000-0005-0000-0000-0000A1020000}"/>
    <cellStyle name="Normal 6 4 3_BOM- With Mfg part #" xfId="794" xr:uid="{00000000-0005-0000-0000-0000A2020000}"/>
    <cellStyle name="Normal 6 4 4" xfId="268" xr:uid="{00000000-0005-0000-0000-0000A3020000}"/>
    <cellStyle name="Normal 6 4 4 2" xfId="490" xr:uid="{00000000-0005-0000-0000-0000A4020000}"/>
    <cellStyle name="Normal 6 4 4_BOM- With Mfg part #" xfId="796" xr:uid="{00000000-0005-0000-0000-0000A5020000}"/>
    <cellStyle name="Normal 6 4 5" xfId="491" xr:uid="{00000000-0005-0000-0000-0000A6020000}"/>
    <cellStyle name="Normal 6 4 6" xfId="542" xr:uid="{00000000-0005-0000-0000-0000A7020000}"/>
    <cellStyle name="Normal 6 4 7" xfId="630" xr:uid="{00000000-0005-0000-0000-0000A8020000}"/>
    <cellStyle name="Normal 6 4_BOM- With Mfg part #" xfId="791" xr:uid="{00000000-0005-0000-0000-0000A9020000}"/>
    <cellStyle name="Normal 6 5" xfId="233" xr:uid="{00000000-0005-0000-0000-0000AA020000}"/>
    <cellStyle name="Normal 6 5 2" xfId="327" xr:uid="{00000000-0005-0000-0000-0000AB020000}"/>
    <cellStyle name="Normal 6 5 2 2" xfId="492" xr:uid="{00000000-0005-0000-0000-0000AC020000}"/>
    <cellStyle name="Normal 6 5 2_BOM- With Mfg part #" xfId="798" xr:uid="{00000000-0005-0000-0000-0000AD020000}"/>
    <cellStyle name="Normal 6 5 3" xfId="493" xr:uid="{00000000-0005-0000-0000-0000AE020000}"/>
    <cellStyle name="Normal 6 5 4" xfId="601" xr:uid="{00000000-0005-0000-0000-0000AF020000}"/>
    <cellStyle name="Normal 6 5 5" xfId="689" xr:uid="{00000000-0005-0000-0000-0000B0020000}"/>
    <cellStyle name="Normal 6 5_BOM- With Mfg part #" xfId="797" xr:uid="{00000000-0005-0000-0000-0000B1020000}"/>
    <cellStyle name="Normal 6 6" xfId="226" xr:uid="{00000000-0005-0000-0000-0000B2020000}"/>
    <cellStyle name="Normal 6 6 2" xfId="320" xr:uid="{00000000-0005-0000-0000-0000B3020000}"/>
    <cellStyle name="Normal 6 6 2 2" xfId="494" xr:uid="{00000000-0005-0000-0000-0000B4020000}"/>
    <cellStyle name="Normal 6 6 2_BOM- With Mfg part #" xfId="800" xr:uid="{00000000-0005-0000-0000-0000B5020000}"/>
    <cellStyle name="Normal 6 6 3" xfId="495" xr:uid="{00000000-0005-0000-0000-0000B6020000}"/>
    <cellStyle name="Normal 6 6 4" xfId="594" xr:uid="{00000000-0005-0000-0000-0000B7020000}"/>
    <cellStyle name="Normal 6 6 5" xfId="682" xr:uid="{00000000-0005-0000-0000-0000B8020000}"/>
    <cellStyle name="Normal 6 6_BOM- With Mfg part #" xfId="799" xr:uid="{00000000-0005-0000-0000-0000B9020000}"/>
    <cellStyle name="Normal 6 7" xfId="253" xr:uid="{00000000-0005-0000-0000-0000BA020000}"/>
    <cellStyle name="Normal 6 7 2" xfId="496" xr:uid="{00000000-0005-0000-0000-0000BB020000}"/>
    <cellStyle name="Normal 6 7_BOM- With Mfg part #" xfId="801" xr:uid="{00000000-0005-0000-0000-0000BC020000}"/>
    <cellStyle name="Normal 6 8" xfId="497" xr:uid="{00000000-0005-0000-0000-0000BD020000}"/>
    <cellStyle name="Normal 6 9" xfId="527" xr:uid="{00000000-0005-0000-0000-0000BE020000}"/>
    <cellStyle name="Normal 6_BOM- With Mfg part #" xfId="778" xr:uid="{00000000-0005-0000-0000-0000BF020000}"/>
    <cellStyle name="Normal 7" xfId="90" xr:uid="{00000000-0005-0000-0000-0000C0020000}"/>
    <cellStyle name="Normal 7 10" xfId="612" xr:uid="{00000000-0005-0000-0000-0000C1020000}"/>
    <cellStyle name="Normal 7 2" xfId="160" xr:uid="{00000000-0005-0000-0000-0000C2020000}"/>
    <cellStyle name="Normal 7 2 2" xfId="179" xr:uid="{00000000-0005-0000-0000-0000C3020000}"/>
    <cellStyle name="Normal 7 2 2 2" xfId="237" xr:uid="{00000000-0005-0000-0000-0000C4020000}"/>
    <cellStyle name="Normal 7 2 2 2 2" xfId="331" xr:uid="{00000000-0005-0000-0000-0000C5020000}"/>
    <cellStyle name="Normal 7 2 2 2 2 2" xfId="498" xr:uid="{00000000-0005-0000-0000-0000C6020000}"/>
    <cellStyle name="Normal 7 2 2 2 2_BOM- With Mfg part #" xfId="806" xr:uid="{00000000-0005-0000-0000-0000C7020000}"/>
    <cellStyle name="Normal 7 2 2 2 3" xfId="499" xr:uid="{00000000-0005-0000-0000-0000C8020000}"/>
    <cellStyle name="Normal 7 2 2 2 4" xfId="605" xr:uid="{00000000-0005-0000-0000-0000C9020000}"/>
    <cellStyle name="Normal 7 2 2 2 5" xfId="693" xr:uid="{00000000-0005-0000-0000-0000CA020000}"/>
    <cellStyle name="Normal 7 2 2 2_BOM- With Mfg part #" xfId="805" xr:uid="{00000000-0005-0000-0000-0000CB020000}"/>
    <cellStyle name="Normal 7 2 2 3" xfId="236" xr:uid="{00000000-0005-0000-0000-0000CC020000}"/>
    <cellStyle name="Normal 7 2 2 3 2" xfId="330" xr:uid="{00000000-0005-0000-0000-0000CD020000}"/>
    <cellStyle name="Normal 7 2 2 3 2 2" xfId="500" xr:uid="{00000000-0005-0000-0000-0000CE020000}"/>
    <cellStyle name="Normal 7 2 2 3 2_BOM- With Mfg part #" xfId="808" xr:uid="{00000000-0005-0000-0000-0000CF020000}"/>
    <cellStyle name="Normal 7 2 2 3 3" xfId="501" xr:uid="{00000000-0005-0000-0000-0000D0020000}"/>
    <cellStyle name="Normal 7 2 2 3 4" xfId="604" xr:uid="{00000000-0005-0000-0000-0000D1020000}"/>
    <cellStyle name="Normal 7 2 2 3 5" xfId="692" xr:uid="{00000000-0005-0000-0000-0000D2020000}"/>
    <cellStyle name="Normal 7 2 2 3_BOM- With Mfg part #" xfId="807" xr:uid="{00000000-0005-0000-0000-0000D3020000}"/>
    <cellStyle name="Normal 7 2 2 4" xfId="275" xr:uid="{00000000-0005-0000-0000-0000D4020000}"/>
    <cellStyle name="Normal 7 2 2 4 2" xfId="502" xr:uid="{00000000-0005-0000-0000-0000D5020000}"/>
    <cellStyle name="Normal 7 2 2 4_BOM- With Mfg part #" xfId="809" xr:uid="{00000000-0005-0000-0000-0000D6020000}"/>
    <cellStyle name="Normal 7 2 2 5" xfId="503" xr:uid="{00000000-0005-0000-0000-0000D7020000}"/>
    <cellStyle name="Normal 7 2 2 6" xfId="549" xr:uid="{00000000-0005-0000-0000-0000D8020000}"/>
    <cellStyle name="Normal 7 2 2 7" xfId="637" xr:uid="{00000000-0005-0000-0000-0000D9020000}"/>
    <cellStyle name="Normal 7 2 2_BOM- With Mfg part #" xfId="804" xr:uid="{00000000-0005-0000-0000-0000DA020000}"/>
    <cellStyle name="Normal 7 2 3" xfId="238" xr:uid="{00000000-0005-0000-0000-0000DB020000}"/>
    <cellStyle name="Normal 7 2 3 2" xfId="332" xr:uid="{00000000-0005-0000-0000-0000DC020000}"/>
    <cellStyle name="Normal 7 2 3 2 2" xfId="504" xr:uid="{00000000-0005-0000-0000-0000DD020000}"/>
    <cellStyle name="Normal 7 2 3 2_BOM- With Mfg part #" xfId="811" xr:uid="{00000000-0005-0000-0000-0000DE020000}"/>
    <cellStyle name="Normal 7 2 3 3" xfId="505" xr:uid="{00000000-0005-0000-0000-0000DF020000}"/>
    <cellStyle name="Normal 7 2 3 4" xfId="606" xr:uid="{00000000-0005-0000-0000-0000E0020000}"/>
    <cellStyle name="Normal 7 2 3 5" xfId="694" xr:uid="{00000000-0005-0000-0000-0000E1020000}"/>
    <cellStyle name="Normal 7 2 3_BOM- With Mfg part #" xfId="810" xr:uid="{00000000-0005-0000-0000-0000E2020000}"/>
    <cellStyle name="Normal 7 2 4" xfId="235" xr:uid="{00000000-0005-0000-0000-0000E3020000}"/>
    <cellStyle name="Normal 7 2 4 2" xfId="329" xr:uid="{00000000-0005-0000-0000-0000E4020000}"/>
    <cellStyle name="Normal 7 2 4 2 2" xfId="506" xr:uid="{00000000-0005-0000-0000-0000E5020000}"/>
    <cellStyle name="Normal 7 2 4 2_BOM- With Mfg part #" xfId="813" xr:uid="{00000000-0005-0000-0000-0000E6020000}"/>
    <cellStyle name="Normal 7 2 4 3" xfId="507" xr:uid="{00000000-0005-0000-0000-0000E7020000}"/>
    <cellStyle name="Normal 7 2 4 4" xfId="603" xr:uid="{00000000-0005-0000-0000-0000E8020000}"/>
    <cellStyle name="Normal 7 2 4 5" xfId="691" xr:uid="{00000000-0005-0000-0000-0000E9020000}"/>
    <cellStyle name="Normal 7 2 4_BOM- With Mfg part #" xfId="812" xr:uid="{00000000-0005-0000-0000-0000EA020000}"/>
    <cellStyle name="Normal 7 2 5" xfId="260" xr:uid="{00000000-0005-0000-0000-0000EB020000}"/>
    <cellStyle name="Normal 7 2 5 2" xfId="508" xr:uid="{00000000-0005-0000-0000-0000EC020000}"/>
    <cellStyle name="Normal 7 2 5_BOM- With Mfg part #" xfId="814" xr:uid="{00000000-0005-0000-0000-0000ED020000}"/>
    <cellStyle name="Normal 7 2 6" xfId="509" xr:uid="{00000000-0005-0000-0000-0000EE020000}"/>
    <cellStyle name="Normal 7 2 7" xfId="534" xr:uid="{00000000-0005-0000-0000-0000EF020000}"/>
    <cellStyle name="Normal 7 2 8" xfId="622" xr:uid="{00000000-0005-0000-0000-0000F0020000}"/>
    <cellStyle name="Normal 7 2_BOM- With Mfg part #" xfId="803" xr:uid="{00000000-0005-0000-0000-0000F1020000}"/>
    <cellStyle name="Normal 7 3" xfId="157" xr:uid="{00000000-0005-0000-0000-0000F2020000}"/>
    <cellStyle name="Normal 7 4" xfId="169" xr:uid="{00000000-0005-0000-0000-0000F3020000}"/>
    <cellStyle name="Normal 7 4 2" xfId="240" xr:uid="{00000000-0005-0000-0000-0000F4020000}"/>
    <cellStyle name="Normal 7 4 2 2" xfId="334" xr:uid="{00000000-0005-0000-0000-0000F5020000}"/>
    <cellStyle name="Normal 7 4 2 2 2" xfId="510" xr:uid="{00000000-0005-0000-0000-0000F6020000}"/>
    <cellStyle name="Normal 7 4 2 2_BOM- With Mfg part #" xfId="817" xr:uid="{00000000-0005-0000-0000-0000F7020000}"/>
    <cellStyle name="Normal 7 4 2 3" xfId="511" xr:uid="{00000000-0005-0000-0000-0000F8020000}"/>
    <cellStyle name="Normal 7 4 2 4" xfId="608" xr:uid="{00000000-0005-0000-0000-0000F9020000}"/>
    <cellStyle name="Normal 7 4 2 5" xfId="696" xr:uid="{00000000-0005-0000-0000-0000FA020000}"/>
    <cellStyle name="Normal 7 4 2_BOM- With Mfg part #" xfId="816" xr:uid="{00000000-0005-0000-0000-0000FB020000}"/>
    <cellStyle name="Normal 7 4 3" xfId="239" xr:uid="{00000000-0005-0000-0000-0000FC020000}"/>
    <cellStyle name="Normal 7 4 3 2" xfId="333" xr:uid="{00000000-0005-0000-0000-0000FD020000}"/>
    <cellStyle name="Normal 7 4 3 2 2" xfId="512" xr:uid="{00000000-0005-0000-0000-0000FE020000}"/>
    <cellStyle name="Normal 7 4 3 2_BOM- With Mfg part #" xfId="819" xr:uid="{00000000-0005-0000-0000-0000FF020000}"/>
    <cellStyle name="Normal 7 4 3 3" xfId="513" xr:uid="{00000000-0005-0000-0000-000000030000}"/>
    <cellStyle name="Normal 7 4 3 4" xfId="607" xr:uid="{00000000-0005-0000-0000-000001030000}"/>
    <cellStyle name="Normal 7 4 3 5" xfId="695" xr:uid="{00000000-0005-0000-0000-000002030000}"/>
    <cellStyle name="Normal 7 4 3_BOM- With Mfg part #" xfId="818" xr:uid="{00000000-0005-0000-0000-000003030000}"/>
    <cellStyle name="Normal 7 4 4" xfId="265" xr:uid="{00000000-0005-0000-0000-000004030000}"/>
    <cellStyle name="Normal 7 4 4 2" xfId="514" xr:uid="{00000000-0005-0000-0000-000005030000}"/>
    <cellStyle name="Normal 7 4 4_BOM- With Mfg part #" xfId="820" xr:uid="{00000000-0005-0000-0000-000006030000}"/>
    <cellStyle name="Normal 7 4 5" xfId="515" xr:uid="{00000000-0005-0000-0000-000007030000}"/>
    <cellStyle name="Normal 7 4 6" xfId="539" xr:uid="{00000000-0005-0000-0000-000008030000}"/>
    <cellStyle name="Normal 7 4 7" xfId="627" xr:uid="{00000000-0005-0000-0000-000009030000}"/>
    <cellStyle name="Normal 7 4_BOM- With Mfg part #" xfId="815" xr:uid="{00000000-0005-0000-0000-00000A030000}"/>
    <cellStyle name="Normal 7 5" xfId="241" xr:uid="{00000000-0005-0000-0000-00000B030000}"/>
    <cellStyle name="Normal 7 5 2" xfId="335" xr:uid="{00000000-0005-0000-0000-00000C030000}"/>
    <cellStyle name="Normal 7 5 2 2" xfId="516" xr:uid="{00000000-0005-0000-0000-00000D030000}"/>
    <cellStyle name="Normal 7 5 2_BOM- With Mfg part #" xfId="822" xr:uid="{00000000-0005-0000-0000-00000E030000}"/>
    <cellStyle name="Normal 7 5 3" xfId="517" xr:uid="{00000000-0005-0000-0000-00000F030000}"/>
    <cellStyle name="Normal 7 5 4" xfId="609" xr:uid="{00000000-0005-0000-0000-000010030000}"/>
    <cellStyle name="Normal 7 5 5" xfId="697" xr:uid="{00000000-0005-0000-0000-000011030000}"/>
    <cellStyle name="Normal 7 5_BOM- With Mfg part #" xfId="821" xr:uid="{00000000-0005-0000-0000-000012030000}"/>
    <cellStyle name="Normal 7 6" xfId="234" xr:uid="{00000000-0005-0000-0000-000013030000}"/>
    <cellStyle name="Normal 7 6 2" xfId="328" xr:uid="{00000000-0005-0000-0000-000014030000}"/>
    <cellStyle name="Normal 7 6 2 2" xfId="518" xr:uid="{00000000-0005-0000-0000-000015030000}"/>
    <cellStyle name="Normal 7 6 2_BOM- With Mfg part #" xfId="824" xr:uid="{00000000-0005-0000-0000-000016030000}"/>
    <cellStyle name="Normal 7 6 3" xfId="519" xr:uid="{00000000-0005-0000-0000-000017030000}"/>
    <cellStyle name="Normal 7 6 4" xfId="602" xr:uid="{00000000-0005-0000-0000-000018030000}"/>
    <cellStyle name="Normal 7 6 5" xfId="690" xr:uid="{00000000-0005-0000-0000-000019030000}"/>
    <cellStyle name="Normal 7 6_BOM- With Mfg part #" xfId="823" xr:uid="{00000000-0005-0000-0000-00001A030000}"/>
    <cellStyle name="Normal 7 7" xfId="250" xr:uid="{00000000-0005-0000-0000-00001B030000}"/>
    <cellStyle name="Normal 7 7 2" xfId="520" xr:uid="{00000000-0005-0000-0000-00001C030000}"/>
    <cellStyle name="Normal 7 7_BOM- With Mfg part #" xfId="825" xr:uid="{00000000-0005-0000-0000-00001D030000}"/>
    <cellStyle name="Normal 7 8" xfId="521" xr:uid="{00000000-0005-0000-0000-00001E030000}"/>
    <cellStyle name="Normal 7 9" xfId="524" xr:uid="{00000000-0005-0000-0000-00001F030000}"/>
    <cellStyle name="Normal 7_BOM- With Mfg part #" xfId="802" xr:uid="{00000000-0005-0000-0000-000020030000}"/>
    <cellStyle name="Normal 8" xfId="158" xr:uid="{00000000-0005-0000-0000-000021030000}"/>
    <cellStyle name="Normal 9" xfId="159" xr:uid="{00000000-0005-0000-0000-000022030000}"/>
    <cellStyle name="Note 2" xfId="868" xr:uid="{00000000-0005-0000-0000-000023030000}"/>
    <cellStyle name="Output" xfId="50" builtinId="21" customBuiltin="1"/>
    <cellStyle name="Qtr" xfId="827" xr:uid="{00000000-0005-0000-0000-000026030000}"/>
    <cellStyle name="SAPBEXstdItem" xfId="848" xr:uid="{00000000-0005-0000-0000-000027030000}"/>
    <cellStyle name="SAPBEXstdItem 2" xfId="858" xr:uid="{00000000-0005-0000-0000-000028030000}"/>
    <cellStyle name="SAPBEXstdItemX" xfId="850" xr:uid="{00000000-0005-0000-0000-000029030000}"/>
    <cellStyle name="SAPBEXstdItemX 2" xfId="859" xr:uid="{00000000-0005-0000-0000-00002A030000}"/>
    <cellStyle name="SAPBorder" xfId="19" xr:uid="{00000000-0005-0000-0000-00002B030000}"/>
    <cellStyle name="SAPDataCell" xfId="2" xr:uid="{00000000-0005-0000-0000-00002C030000}"/>
    <cellStyle name="SAPDataRemoved" xfId="874" xr:uid="{00000000-0005-0000-0000-00002D030000}"/>
    <cellStyle name="SAPDataTotalCell" xfId="3" xr:uid="{00000000-0005-0000-0000-00002E030000}"/>
    <cellStyle name="SAPDimensionCell" xfId="1" xr:uid="{00000000-0005-0000-0000-00002F030000}"/>
    <cellStyle name="SAPDimensionCell 2" xfId="37" xr:uid="{00000000-0005-0000-0000-000030030000}"/>
    <cellStyle name="SAPDimensionCell 3" xfId="869" xr:uid="{00000000-0005-0000-0000-000031030000}"/>
    <cellStyle name="SAPEditableDataCell" xfId="4" xr:uid="{00000000-0005-0000-0000-000032030000}"/>
    <cellStyle name="SAPEditableDataCell 2" xfId="38" xr:uid="{00000000-0005-0000-0000-000033030000}"/>
    <cellStyle name="SAPEditableDataCell 3" xfId="833" xr:uid="{00000000-0005-0000-0000-000034030000}"/>
    <cellStyle name="SAPEditableDataTotalCell" xfId="7" xr:uid="{00000000-0005-0000-0000-000035030000}"/>
    <cellStyle name="SAPEditableDataTotalCell 2" xfId="835" xr:uid="{00000000-0005-0000-0000-000036030000}"/>
    <cellStyle name="SAPEmphasized" xfId="27" xr:uid="{00000000-0005-0000-0000-000037030000}"/>
    <cellStyle name="SAPEmphasizedEditableDataCell" xfId="29" xr:uid="{00000000-0005-0000-0000-000038030000}"/>
    <cellStyle name="SAPEmphasizedEditableDataCell 2" xfId="838" xr:uid="{00000000-0005-0000-0000-000039030000}"/>
    <cellStyle name="SAPEmphasizedEditableDataTotalCell" xfId="30" xr:uid="{00000000-0005-0000-0000-00003A030000}"/>
    <cellStyle name="SAPEmphasizedEditableDataTotalCell 2" xfId="839" xr:uid="{00000000-0005-0000-0000-00003B030000}"/>
    <cellStyle name="SAPEmphasizedLockedDataCell" xfId="33" xr:uid="{00000000-0005-0000-0000-00003C030000}"/>
    <cellStyle name="SAPEmphasizedLockedDataCell 2" xfId="840" xr:uid="{00000000-0005-0000-0000-00003D030000}"/>
    <cellStyle name="SAPEmphasizedLockedDataTotalCell" xfId="34" xr:uid="{00000000-0005-0000-0000-00003E030000}"/>
    <cellStyle name="SAPEmphasizedLockedDataTotalCell 2" xfId="841" xr:uid="{00000000-0005-0000-0000-00003F030000}"/>
    <cellStyle name="SAPEmphasizedReadonlyDataCell" xfId="31" xr:uid="{00000000-0005-0000-0000-000040030000}"/>
    <cellStyle name="SAPEmphasizedReadonlyDataTotalCell" xfId="32" xr:uid="{00000000-0005-0000-0000-000041030000}"/>
    <cellStyle name="SAPEmphasizedTotal" xfId="28" xr:uid="{00000000-0005-0000-0000-000042030000}"/>
    <cellStyle name="SAPEmphasizedTotal 2" xfId="837" xr:uid="{00000000-0005-0000-0000-000043030000}"/>
    <cellStyle name="SAPError" xfId="844" xr:uid="{00000000-0005-0000-0000-000044030000}"/>
    <cellStyle name="SAPExceptionLevel1" xfId="10" xr:uid="{00000000-0005-0000-0000-000045030000}"/>
    <cellStyle name="SAPExceptionLevel2" xfId="11" xr:uid="{00000000-0005-0000-0000-000046030000}"/>
    <cellStyle name="SAPExceptionLevel3" xfId="12" xr:uid="{00000000-0005-0000-0000-000047030000}"/>
    <cellStyle name="SAPExceptionLevel4" xfId="13" xr:uid="{00000000-0005-0000-0000-000048030000}"/>
    <cellStyle name="SAPExceptionLevel5" xfId="14" xr:uid="{00000000-0005-0000-0000-000049030000}"/>
    <cellStyle name="SAPExceptionLevel6" xfId="15" xr:uid="{00000000-0005-0000-0000-00004A030000}"/>
    <cellStyle name="SAPExceptionLevel7" xfId="16" xr:uid="{00000000-0005-0000-0000-00004B030000}"/>
    <cellStyle name="SAPExceptionLevel8" xfId="17" xr:uid="{00000000-0005-0000-0000-00004C030000}"/>
    <cellStyle name="SAPExceptionLevel9" xfId="18" xr:uid="{00000000-0005-0000-0000-00004D030000}"/>
    <cellStyle name="SAPFormula" xfId="843" xr:uid="{00000000-0005-0000-0000-00004E030000}"/>
    <cellStyle name="SAPGroupingFillCell" xfId="35" xr:uid="{00000000-0005-0000-0000-00004F030000}"/>
    <cellStyle name="SAPHierarchyCell0" xfId="22" xr:uid="{00000000-0005-0000-0000-000050030000}"/>
    <cellStyle name="SAPHierarchyCell0 2" xfId="828" xr:uid="{00000000-0005-0000-0000-000051030000}"/>
    <cellStyle name="SAPHierarchyCell0 2 2" xfId="855" xr:uid="{00000000-0005-0000-0000-000052030000}"/>
    <cellStyle name="SAPHierarchyCell0 2 3" xfId="856" xr:uid="{00000000-0005-0000-0000-000053030000}"/>
    <cellStyle name="SAPHierarchyCell0 2 4" xfId="854" xr:uid="{00000000-0005-0000-0000-000054030000}"/>
    <cellStyle name="SAPHierarchyCell0 2 5" xfId="852" xr:uid="{00000000-0005-0000-0000-000055030000}"/>
    <cellStyle name="SAPHierarchyCell0 3" xfId="826" xr:uid="{00000000-0005-0000-0000-000056030000}"/>
    <cellStyle name="SAPHierarchyCell1" xfId="23" xr:uid="{00000000-0005-0000-0000-000057030000}"/>
    <cellStyle name="SAPHierarchyCell2" xfId="24" xr:uid="{00000000-0005-0000-0000-000058030000}"/>
    <cellStyle name="SAPHierarchyCell3" xfId="25" xr:uid="{00000000-0005-0000-0000-000059030000}"/>
    <cellStyle name="SAPHierarchyCell4" xfId="26" xr:uid="{00000000-0005-0000-0000-00005A030000}"/>
    <cellStyle name="SAPLockedDataCell" xfId="6" xr:uid="{00000000-0005-0000-0000-00005B030000}"/>
    <cellStyle name="SAPLockedDataCell 2" xfId="834" xr:uid="{00000000-0005-0000-0000-00005C030000}"/>
    <cellStyle name="SAPLockedDataTotalCell" xfId="9" xr:uid="{00000000-0005-0000-0000-00005D030000}"/>
    <cellStyle name="SAPLockedDataTotalCell 2" xfId="836" xr:uid="{00000000-0005-0000-0000-00005E030000}"/>
    <cellStyle name="SAPMemberCell" xfId="20" xr:uid="{00000000-0005-0000-0000-00005F030000}"/>
    <cellStyle name="SAPMemberCell 2" xfId="41" xr:uid="{00000000-0005-0000-0000-000060030000}"/>
    <cellStyle name="SAPMemberCell 3" xfId="78" xr:uid="{00000000-0005-0000-0000-000061030000}"/>
    <cellStyle name="SAPMemberTotalCell" xfId="21" xr:uid="{00000000-0005-0000-0000-000062030000}"/>
    <cellStyle name="SAPMemberTotalCell 2" xfId="42" xr:uid="{00000000-0005-0000-0000-000063030000}"/>
    <cellStyle name="SAPMemberTotalCell 3" xfId="853" xr:uid="{00000000-0005-0000-0000-000064030000}"/>
    <cellStyle name="SAPMessageText" xfId="842" xr:uid="{00000000-0005-0000-0000-000065030000}"/>
    <cellStyle name="SAPReadonlyDataCell" xfId="5" xr:uid="{00000000-0005-0000-0000-000066030000}"/>
    <cellStyle name="SAPReadonlyDataCell 2" xfId="39" xr:uid="{00000000-0005-0000-0000-000067030000}"/>
    <cellStyle name="SAPReadonlyDataTotalCell" xfId="8" xr:uid="{00000000-0005-0000-0000-000068030000}"/>
    <cellStyle name="SAPReadonlyDataTotalCell 2" xfId="40" xr:uid="{00000000-0005-0000-0000-000069030000}"/>
    <cellStyle name="Title 2" xfId="860" xr:uid="{00000000-0005-0000-0000-00006A030000}"/>
    <cellStyle name="Total" xfId="56" builtinId="25" customBuiltin="1"/>
    <cellStyle name="Warning Text" xfId="54" builtinId="11" customBuiltin="1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2" defaultTableStyle="TableStyleMedium2" defaultPivotStyle="PivotStyleLight16">
    <tableStyle name="Invisible" pivot="0" table="0" count="0" xr9:uid="{E6CCE340-E43B-46F1-864B-83E5F7335FF4}"/>
    <tableStyle name="Table Style 1" pivot="0" count="1" xr9:uid="{00000000-0011-0000-FFFF-FFFF00000000}">
      <tableStyleElement type="firstRowStripe" dxfId="11"/>
    </tableStyle>
  </tableStyles>
  <colors>
    <mruColors>
      <color rgb="FFE60000"/>
      <color rgb="FF327EC4"/>
      <color rgb="FFFFCDCD"/>
      <color rgb="FFCC99FF"/>
      <color rgb="FFE6CDFF"/>
      <color rgb="FFCCFFCC"/>
      <color rgb="FFFF9B9B"/>
      <color rgb="FFFF0000"/>
      <color rgb="FFB3FF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5" Type="http://schemas.openxmlformats.org/officeDocument/2006/relationships/customXml" Target="../customXml/item7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ustomProperty" Target="../customProperty4.bin"/><Relationship Id="rId4" Type="http://schemas.openxmlformats.org/officeDocument/2006/relationships/customProperty" Target="../customProperty3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3.bin"/><Relationship Id="rId4" Type="http://schemas.openxmlformats.org/officeDocument/2006/relationships/customProperty" Target="../customProperty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4.6"/>
  <sheetData/>
  <pageMargins left="0.7" right="0.7" top="0.75" bottom="0.75" header="0.3" footer="0.3"/>
  <pageSetup orientation="portrait" r:id="rId1"/>
  <customProperties>
    <customPr name="_pios_id" r:id="rId2"/>
    <customPr name="CofWorksheetType" r:id="rId3"/>
    <customPr name="EpmWorksheetKeyString_GUID" r:id="rId4"/>
    <customPr name="serializedData2" r:id="rId5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Q1"/>
  <sheetViews>
    <sheetView zoomScale="90" zoomScaleNormal="90" workbookViewId="0">
      <pane ySplit="1" topLeftCell="A1815" activePane="bottomLeft" state="frozen"/>
      <selection activeCell="F121" sqref="F121"/>
      <selection pane="bottomLeft" activeCell="O1847" sqref="O1847"/>
    </sheetView>
  </sheetViews>
  <sheetFormatPr defaultColWidth="9.07421875" defaultRowHeight="14.6" outlineLevelCol="1"/>
  <cols>
    <col min="1" max="1" width="8.4609375" style="9" bestFit="1" customWidth="1"/>
    <col min="2" max="2" width="12.07421875" style="3" bestFit="1" customWidth="1"/>
    <col min="3" max="3" width="10.84375" style="3" customWidth="1"/>
    <col min="4" max="4" width="19" style="3" hidden="1" customWidth="1" outlineLevel="1"/>
    <col min="5" max="5" width="17.69140625" style="3" hidden="1" customWidth="1" outlineLevel="1"/>
    <col min="6" max="6" width="49.4609375" style="3" customWidth="1" collapsed="1"/>
    <col min="7" max="7" width="12.53515625" style="4" customWidth="1"/>
    <col min="8" max="8" width="15.4609375" style="3" hidden="1" customWidth="1" outlineLevel="1"/>
    <col min="9" max="9" width="16.3046875" style="3" hidden="1" customWidth="1" outlineLevel="1"/>
    <col min="10" max="10" width="33.53515625" style="3" hidden="1" customWidth="1" outlineLevel="1"/>
    <col min="11" max="11" width="7.84375" style="3" hidden="1" customWidth="1" outlineLevel="1"/>
    <col min="12" max="12" width="7.69140625" style="3" hidden="1" customWidth="1" outlineLevel="1"/>
    <col min="13" max="13" width="26.84375" style="3" hidden="1" customWidth="1" outlineLevel="1"/>
    <col min="14" max="14" width="112" style="3" hidden="1" customWidth="1" outlineLevel="1"/>
    <col min="15" max="15" width="9.07421875" collapsed="1"/>
    <col min="18" max="16384" width="9.07421875" style="3"/>
  </cols>
  <sheetData>
    <row r="1" spans="1:15">
      <c r="A1" s="11" t="s">
        <v>1</v>
      </c>
      <c r="B1" s="10" t="s">
        <v>22</v>
      </c>
      <c r="C1" s="10" t="s">
        <v>23</v>
      </c>
      <c r="D1" s="10" t="s">
        <v>24</v>
      </c>
      <c r="E1" s="10" t="s">
        <v>35</v>
      </c>
      <c r="F1" s="10" t="s">
        <v>50</v>
      </c>
      <c r="G1" s="10" t="s">
        <v>69</v>
      </c>
      <c r="H1" s="11" t="s">
        <v>0</v>
      </c>
      <c r="I1" s="11" t="s">
        <v>30</v>
      </c>
      <c r="J1" s="11" t="s">
        <v>55</v>
      </c>
      <c r="K1" s="11" t="s">
        <v>38</v>
      </c>
      <c r="L1" s="11" t="s">
        <v>41</v>
      </c>
      <c r="M1" s="11" t="s">
        <v>57</v>
      </c>
      <c r="N1" s="11" t="s">
        <v>29</v>
      </c>
      <c r="O1" s="43" t="s">
        <v>102</v>
      </c>
    </row>
  </sheetData>
  <autoFilter ref="A1:Q1" xr:uid="{00000000-0009-0000-0000-000003000000}"/>
  <conditionalFormatting sqref="A1:A1048576">
    <cfRule type="duplicateValues" dxfId="10" priority="25"/>
  </conditionalFormatting>
  <conditionalFormatting sqref="A2:A2553">
    <cfRule type="duplicateValues" dxfId="9" priority="1822"/>
  </conditionalFormatting>
  <conditionalFormatting sqref="B1801 B1:B1429 B1505 B1515 B1832 B1847:B1048576">
    <cfRule type="duplicateValues" dxfId="8" priority="5"/>
  </conditionalFormatting>
  <conditionalFormatting sqref="B1801 B1:B1634 B1832 B1847:B1048576">
    <cfRule type="duplicateValues" dxfId="7" priority="4"/>
  </conditionalFormatting>
  <conditionalFormatting sqref="B1801 B1:B1670 B1832 B1847:B1048576">
    <cfRule type="duplicateValues" dxfId="6" priority="3"/>
  </conditionalFormatting>
  <conditionalFormatting sqref="B1801 B1336 B1:B1310 B1505 B1515 B1832 B1847:B1048576">
    <cfRule type="duplicateValues" dxfId="5" priority="7"/>
  </conditionalFormatting>
  <conditionalFormatting sqref="B1801 B1336 B1288 B972 B1:B708 B719:B742 B1194:B1199 B1308:B1310 B1505 B1515 B1832 B1847:B1048576">
    <cfRule type="duplicateValues" dxfId="4" priority="8"/>
  </conditionalFormatting>
  <conditionalFormatting sqref="B1801 B1336 B1288 B972 B698:B708 B2:B453 B500:B503 B522:B571 B582:B588 B610:B611 B719:B742 B1194:B1199 B1308:B1310 B1505 B1515 B1832 B1847:B1048576">
    <cfRule type="duplicateValues" dxfId="3" priority="10"/>
  </conditionalFormatting>
  <conditionalFormatting sqref="B1801 B1505 B1:B1336 B1515 B1832 B1847:B1048576">
    <cfRule type="duplicateValues" dxfId="2" priority="6"/>
  </conditionalFormatting>
  <conditionalFormatting sqref="H1:L1 C1 O1">
    <cfRule type="duplicateValues" dxfId="1" priority="1615"/>
  </conditionalFormatting>
  <pageMargins left="0.7" right="0.7" top="0.75" bottom="0.75" header="0.3" footer="0.3"/>
  <pageSetup orientation="portrait" r:id="rId1"/>
  <customProperties>
    <customPr name="_pios_id" r:id="rId2"/>
    <customPr name="EpmWorksheetKeyString_GUID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AR1"/>
  <sheetViews>
    <sheetView tabSelected="1" zoomScale="90" zoomScaleNormal="90" workbookViewId="0">
      <pane ySplit="1" topLeftCell="A5805" activePane="bottomLeft" state="frozen"/>
      <selection activeCell="O1" sqref="O1"/>
      <selection pane="bottomLeft" activeCell="A5828" sqref="A5828"/>
    </sheetView>
  </sheetViews>
  <sheetFormatPr defaultColWidth="9.07421875" defaultRowHeight="14.6" outlineLevelCol="1"/>
  <cols>
    <col min="1" max="1" width="13.3046875" bestFit="1" customWidth="1"/>
    <col min="2" max="2" width="16.69140625" hidden="1" customWidth="1" outlineLevel="1"/>
    <col min="3" max="3" width="9.765625" hidden="1" customWidth="1" outlineLevel="1"/>
    <col min="4" max="4" width="18.53515625" hidden="1" customWidth="1" outlineLevel="1"/>
    <col min="5" max="5" width="11.53515625" hidden="1" customWidth="1" outlineLevel="1"/>
    <col min="6" max="6" width="20.84375" hidden="1" customWidth="1" outlineLevel="1"/>
    <col min="7" max="7" width="42.3046875" bestFit="1" customWidth="1" collapsed="1"/>
    <col min="8" max="8" width="10.3046875" bestFit="1" customWidth="1"/>
    <col min="9" max="9" width="12.07421875" bestFit="1" customWidth="1"/>
    <col min="10" max="10" width="19.69140625" bestFit="1" customWidth="1"/>
    <col min="11" max="11" width="17.53515625" bestFit="1" customWidth="1"/>
    <col min="12" max="12" width="10.53515625" bestFit="1" customWidth="1"/>
    <col min="13" max="13" width="20.53515625" bestFit="1" customWidth="1"/>
    <col min="14" max="14" width="26.15234375" customWidth="1"/>
    <col min="15" max="15" width="255.765625" hidden="1" customWidth="1" outlineLevel="1"/>
    <col min="16" max="16" width="11.765625" customWidth="1" outlineLevel="1"/>
    <col min="17" max="17" width="17.07421875" bestFit="1" customWidth="1"/>
    <col min="18" max="18" width="17.84375" bestFit="1" customWidth="1"/>
    <col min="19" max="19" width="21.23046875" hidden="1" customWidth="1" outlineLevel="1"/>
    <col min="20" max="20" width="11.53515625" hidden="1" customWidth="1" outlineLevel="1"/>
    <col min="21" max="21" width="13.84375" hidden="1" customWidth="1" outlineLevel="1"/>
    <col min="22" max="22" width="22.3046875" bestFit="1" customWidth="1" collapsed="1"/>
    <col min="23" max="23" width="12.3046875" bestFit="1" customWidth="1"/>
    <col min="24" max="24" width="10.84375" bestFit="1" customWidth="1"/>
    <col min="25" max="25" width="15.3046875" bestFit="1" customWidth="1"/>
    <col min="26" max="27" width="13.23046875" bestFit="1" customWidth="1"/>
    <col min="28" max="28" width="14.69140625" bestFit="1" customWidth="1"/>
    <col min="29" max="29" width="13.07421875" bestFit="1" customWidth="1"/>
    <col min="30" max="30" width="19.3046875" bestFit="1" customWidth="1"/>
    <col min="31" max="31" width="10.53515625" bestFit="1" customWidth="1"/>
    <col min="32" max="32" width="20.765625" bestFit="1" customWidth="1"/>
    <col min="33" max="33" width="16.4609375" hidden="1" customWidth="1" outlineLevel="1"/>
    <col min="34" max="34" width="17.53515625" bestFit="1" customWidth="1" collapsed="1"/>
    <col min="35" max="35" width="17.4609375" bestFit="1" customWidth="1"/>
    <col min="36" max="36" width="10.07421875" bestFit="1" customWidth="1"/>
    <col min="37" max="37" width="37.84375" bestFit="1" customWidth="1"/>
    <col min="38" max="38" width="14.3046875" bestFit="1" customWidth="1"/>
    <col min="39" max="39" width="27.4609375" bestFit="1" customWidth="1"/>
    <col min="40" max="40" width="19.4609375" bestFit="1" customWidth="1"/>
    <col min="41" max="41" width="21" bestFit="1" customWidth="1"/>
    <col min="42" max="42" width="12.765625" bestFit="1" customWidth="1"/>
    <col min="43" max="43" width="11.53515625" bestFit="1" customWidth="1"/>
    <col min="44" max="44" width="5.3046875" bestFit="1" customWidth="1"/>
  </cols>
  <sheetData>
    <row r="1" spans="1:44" s="55" customFormat="1">
      <c r="A1" s="64" t="s">
        <v>109</v>
      </c>
      <c r="B1" s="64" t="s">
        <v>27</v>
      </c>
      <c r="C1" s="64" t="s">
        <v>20</v>
      </c>
      <c r="D1" s="64" t="s">
        <v>107</v>
      </c>
      <c r="E1" s="64" t="s">
        <v>104</v>
      </c>
      <c r="F1" s="64" t="s">
        <v>26</v>
      </c>
      <c r="G1" s="64" t="s">
        <v>31</v>
      </c>
      <c r="H1" s="64" t="s">
        <v>23</v>
      </c>
      <c r="I1" s="64" t="s">
        <v>22</v>
      </c>
      <c r="J1" s="64" t="s">
        <v>24</v>
      </c>
      <c r="K1" s="64" t="s">
        <v>123</v>
      </c>
      <c r="L1" s="64" t="s">
        <v>25</v>
      </c>
      <c r="M1" s="64" t="s">
        <v>35</v>
      </c>
      <c r="N1" s="64" t="s">
        <v>29</v>
      </c>
      <c r="O1" s="64" t="s">
        <v>28</v>
      </c>
      <c r="P1" s="64" t="s">
        <v>32</v>
      </c>
      <c r="Q1" s="64" t="s">
        <v>105</v>
      </c>
      <c r="R1" s="64" t="s">
        <v>106</v>
      </c>
      <c r="S1" s="64" t="s">
        <v>129</v>
      </c>
      <c r="T1" s="64" t="s">
        <v>116</v>
      </c>
      <c r="U1" s="64" t="s">
        <v>117</v>
      </c>
      <c r="V1" s="64" t="s">
        <v>118</v>
      </c>
      <c r="W1" s="64" t="s">
        <v>103</v>
      </c>
      <c r="X1" s="64" t="s">
        <v>113</v>
      </c>
      <c r="Y1" s="64" t="s">
        <v>101</v>
      </c>
      <c r="Z1" s="64" t="s">
        <v>124</v>
      </c>
      <c r="AA1" s="64" t="s">
        <v>128</v>
      </c>
      <c r="AB1" s="64" t="s">
        <v>125</v>
      </c>
      <c r="AC1" s="64" t="s">
        <v>126</v>
      </c>
      <c r="AD1" s="64" t="s">
        <v>127</v>
      </c>
      <c r="AE1" s="64" t="s">
        <v>112</v>
      </c>
      <c r="AF1" s="64" t="s">
        <v>114</v>
      </c>
      <c r="AG1" s="64" t="s">
        <v>119</v>
      </c>
      <c r="AH1" s="64" t="s">
        <v>120</v>
      </c>
      <c r="AI1" s="64" t="s">
        <v>121</v>
      </c>
      <c r="AJ1" s="64" t="s">
        <v>122</v>
      </c>
      <c r="AK1" s="64" t="s">
        <v>30</v>
      </c>
      <c r="AL1" s="64" t="s">
        <v>115</v>
      </c>
      <c r="AM1" s="63"/>
      <c r="AN1" s="64" t="s">
        <v>130</v>
      </c>
      <c r="AO1" s="64" t="s">
        <v>131</v>
      </c>
      <c r="AP1" s="64" t="s">
        <v>132</v>
      </c>
      <c r="AQ1" s="64" t="s">
        <v>133</v>
      </c>
      <c r="AR1" s="57" t="s">
        <v>115</v>
      </c>
    </row>
  </sheetData>
  <autoFilter ref="A1:AR1" xr:uid="{00000000-0001-0000-0900-000000000000}"/>
  <pageMargins left="0.7" right="0.7" top="0.75" bottom="0.75" header="0.3" footer="0.3"/>
  <pageSetup orientation="portrait" r:id="rId1"/>
  <customProperties>
    <customPr name="_pios_id" r:id="rId2"/>
    <customPr name="CofWorksheetType" r:id="rId3"/>
    <customPr name="EpmWorksheetKeyString_GUID" r:id="rId4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7" tint="0.59999389629810485"/>
  </sheetPr>
  <dimension ref="A1:M192"/>
  <sheetViews>
    <sheetView workbookViewId="0">
      <pane ySplit="1" topLeftCell="A81" activePane="bottomLeft" state="frozen"/>
      <selection pane="bottomLeft" activeCell="D82" sqref="D82:D93"/>
    </sheetView>
  </sheetViews>
  <sheetFormatPr defaultColWidth="9.07421875" defaultRowHeight="14.6"/>
  <cols>
    <col min="1" max="2" width="10.69140625" style="2" bestFit="1" customWidth="1"/>
    <col min="4" max="4" width="9.07421875" style="5"/>
    <col min="5" max="5" width="10.69140625" bestFit="1" customWidth="1"/>
    <col min="6" max="6" width="20.53515625" bestFit="1" customWidth="1"/>
    <col min="7" max="7" width="17.84375" bestFit="1" customWidth="1"/>
    <col min="10" max="10" width="13.3046875" bestFit="1" customWidth="1"/>
    <col min="11" max="11" width="67.69140625" bestFit="1" customWidth="1"/>
    <col min="13" max="13" width="4.3046875" customWidth="1"/>
    <col min="14" max="18" width="8.84375" customWidth="1"/>
  </cols>
  <sheetData>
    <row r="1" spans="1:13">
      <c r="A1" s="1" t="s">
        <v>39</v>
      </c>
      <c r="B1" s="1" t="s">
        <v>40</v>
      </c>
      <c r="C1" s="4" t="s">
        <v>41</v>
      </c>
      <c r="D1" s="4" t="s">
        <v>38</v>
      </c>
      <c r="F1" s="4" t="s">
        <v>0</v>
      </c>
      <c r="G1" s="4" t="s">
        <v>49</v>
      </c>
      <c r="I1" s="13" t="s">
        <v>70</v>
      </c>
      <c r="J1" s="25" t="s">
        <v>21</v>
      </c>
      <c r="K1" s="26" t="s">
        <v>91</v>
      </c>
    </row>
    <row r="2" spans="1:13" ht="15" thickBot="1">
      <c r="A2" s="7">
        <v>43003</v>
      </c>
      <c r="B2" s="7">
        <f t="shared" ref="B2:B33" si="0">A2+6</f>
        <v>43009</v>
      </c>
      <c r="C2" s="3">
        <v>1</v>
      </c>
      <c r="D2" s="6" t="s">
        <v>42</v>
      </c>
      <c r="E2" s="2"/>
      <c r="F2" s="7" t="s">
        <v>13</v>
      </c>
      <c r="G2" s="7" t="s">
        <v>58</v>
      </c>
      <c r="I2" s="14"/>
      <c r="J2" s="27" t="s">
        <v>47</v>
      </c>
      <c r="K2" s="28" t="s">
        <v>90</v>
      </c>
    </row>
    <row r="3" spans="1:13">
      <c r="A3" s="7">
        <f t="shared" ref="A3:A34" si="1">A2+7</f>
        <v>43010</v>
      </c>
      <c r="B3" s="7">
        <f t="shared" si="0"/>
        <v>43016</v>
      </c>
      <c r="C3" s="3">
        <f t="shared" ref="C3:C14" si="2">C2+1</f>
        <v>2</v>
      </c>
      <c r="D3" s="6" t="s">
        <v>42</v>
      </c>
      <c r="E3" s="2"/>
      <c r="F3" s="7" t="s">
        <v>10</v>
      </c>
      <c r="G3" s="7" t="s">
        <v>58</v>
      </c>
      <c r="I3" s="21" t="s">
        <v>33</v>
      </c>
      <c r="J3" s="29" t="s">
        <v>71</v>
      </c>
      <c r="K3" s="27" t="s">
        <v>80</v>
      </c>
      <c r="M3" s="24"/>
    </row>
    <row r="4" spans="1:13">
      <c r="A4" s="7">
        <f t="shared" si="1"/>
        <v>43017</v>
      </c>
      <c r="B4" s="7">
        <f t="shared" si="0"/>
        <v>43023</v>
      </c>
      <c r="C4" s="3">
        <f t="shared" si="2"/>
        <v>3</v>
      </c>
      <c r="D4" s="6" t="s">
        <v>42</v>
      </c>
      <c r="F4" s="7" t="s">
        <v>16</v>
      </c>
      <c r="G4" s="7" t="s">
        <v>58</v>
      </c>
      <c r="I4" s="20"/>
      <c r="J4" s="30" t="s">
        <v>72</v>
      </c>
      <c r="K4" s="27" t="s">
        <v>81</v>
      </c>
      <c r="M4" s="24"/>
    </row>
    <row r="5" spans="1:13">
      <c r="A5" s="7">
        <f t="shared" si="1"/>
        <v>43024</v>
      </c>
      <c r="B5" s="7">
        <f t="shared" si="0"/>
        <v>43030</v>
      </c>
      <c r="C5" s="3">
        <f t="shared" si="2"/>
        <v>4</v>
      </c>
      <c r="D5" s="6" t="s">
        <v>42</v>
      </c>
      <c r="F5" s="9" t="s">
        <v>19</v>
      </c>
      <c r="G5" s="7" t="s">
        <v>58</v>
      </c>
      <c r="I5" s="20"/>
      <c r="J5" s="30" t="s">
        <v>79</v>
      </c>
      <c r="K5" s="27" t="s">
        <v>82</v>
      </c>
      <c r="M5" s="24"/>
    </row>
    <row r="6" spans="1:13" ht="15" thickBot="1">
      <c r="A6" s="7">
        <f t="shared" si="1"/>
        <v>43031</v>
      </c>
      <c r="B6" s="7">
        <f t="shared" si="0"/>
        <v>43037</v>
      </c>
      <c r="C6" s="3">
        <f t="shared" si="2"/>
        <v>5</v>
      </c>
      <c r="D6" s="6" t="s">
        <v>42</v>
      </c>
      <c r="F6" s="7" t="s">
        <v>17</v>
      </c>
      <c r="G6" s="7" t="s">
        <v>58</v>
      </c>
      <c r="I6" s="20"/>
      <c r="J6" s="31" t="s">
        <v>63</v>
      </c>
      <c r="K6" s="27" t="s">
        <v>85</v>
      </c>
      <c r="M6" s="24"/>
    </row>
    <row r="7" spans="1:13">
      <c r="A7" s="7">
        <f t="shared" si="1"/>
        <v>43038</v>
      </c>
      <c r="B7" s="7">
        <f t="shared" si="0"/>
        <v>43044</v>
      </c>
      <c r="C7" s="3">
        <f t="shared" si="2"/>
        <v>6</v>
      </c>
      <c r="D7" s="6" t="s">
        <v>42</v>
      </c>
      <c r="F7" s="7" t="s">
        <v>60</v>
      </c>
      <c r="G7" s="7" t="s">
        <v>58</v>
      </c>
      <c r="I7" s="22" t="s">
        <v>34</v>
      </c>
      <c r="J7" s="29" t="s">
        <v>45</v>
      </c>
      <c r="K7" s="27" t="s">
        <v>86</v>
      </c>
      <c r="M7" s="24"/>
    </row>
    <row r="8" spans="1:13">
      <c r="A8" s="7">
        <f t="shared" si="1"/>
        <v>43045</v>
      </c>
      <c r="B8" s="7">
        <f t="shared" si="0"/>
        <v>43051</v>
      </c>
      <c r="C8" s="3">
        <f t="shared" si="2"/>
        <v>7</v>
      </c>
      <c r="D8" s="6" t="s">
        <v>42</v>
      </c>
      <c r="F8" s="7" t="s">
        <v>2</v>
      </c>
      <c r="G8" s="7" t="s">
        <v>54</v>
      </c>
      <c r="I8" s="23"/>
      <c r="J8" s="32" t="s">
        <v>100</v>
      </c>
      <c r="K8" s="33" t="s">
        <v>99</v>
      </c>
      <c r="M8" s="24"/>
    </row>
    <row r="9" spans="1:13" ht="15" thickBot="1">
      <c r="A9" s="7">
        <f t="shared" si="1"/>
        <v>43052</v>
      </c>
      <c r="B9" s="7">
        <f t="shared" si="0"/>
        <v>43058</v>
      </c>
      <c r="C9" s="3">
        <f t="shared" si="2"/>
        <v>8</v>
      </c>
      <c r="D9" s="6" t="s">
        <v>42</v>
      </c>
      <c r="F9" s="7" t="s">
        <v>59</v>
      </c>
      <c r="G9" s="7" t="s">
        <v>108</v>
      </c>
      <c r="I9" s="34"/>
      <c r="J9" s="31" t="s">
        <v>63</v>
      </c>
      <c r="K9" s="27" t="s">
        <v>85</v>
      </c>
    </row>
    <row r="10" spans="1:13">
      <c r="A10" s="7">
        <f t="shared" si="1"/>
        <v>43059</v>
      </c>
      <c r="B10" s="7">
        <f t="shared" si="0"/>
        <v>43065</v>
      </c>
      <c r="C10" s="3">
        <f t="shared" si="2"/>
        <v>9</v>
      </c>
      <c r="D10" s="6" t="s">
        <v>42</v>
      </c>
      <c r="F10" s="9" t="s">
        <v>62</v>
      </c>
      <c r="G10" s="7" t="s">
        <v>51</v>
      </c>
      <c r="I10" s="19" t="s">
        <v>36</v>
      </c>
      <c r="J10" s="35" t="s">
        <v>61</v>
      </c>
      <c r="K10" s="27" t="s">
        <v>83</v>
      </c>
    </row>
    <row r="11" spans="1:13">
      <c r="A11" s="7">
        <f t="shared" si="1"/>
        <v>43066</v>
      </c>
      <c r="B11" s="7">
        <f t="shared" si="0"/>
        <v>43072</v>
      </c>
      <c r="C11" s="3">
        <f t="shared" si="2"/>
        <v>10</v>
      </c>
      <c r="D11" s="6" t="s">
        <v>42</v>
      </c>
      <c r="F11" s="7" t="s">
        <v>6</v>
      </c>
      <c r="G11" s="7" t="s">
        <v>51</v>
      </c>
      <c r="I11" s="15"/>
      <c r="J11" s="30" t="s">
        <v>46</v>
      </c>
      <c r="K11" s="27" t="s">
        <v>84</v>
      </c>
    </row>
    <row r="12" spans="1:13">
      <c r="A12" s="7">
        <f t="shared" si="1"/>
        <v>43073</v>
      </c>
      <c r="B12" s="7">
        <f t="shared" si="0"/>
        <v>43079</v>
      </c>
      <c r="C12" s="3">
        <f t="shared" si="2"/>
        <v>11</v>
      </c>
      <c r="D12" s="6" t="s">
        <v>42</v>
      </c>
      <c r="F12" s="7" t="s">
        <v>3</v>
      </c>
      <c r="G12" s="7" t="s">
        <v>51</v>
      </c>
      <c r="I12" s="15"/>
      <c r="J12" s="30" t="s">
        <v>65</v>
      </c>
      <c r="K12" s="27" t="s">
        <v>76</v>
      </c>
    </row>
    <row r="13" spans="1:13">
      <c r="A13" s="7">
        <f t="shared" si="1"/>
        <v>43080</v>
      </c>
      <c r="B13" s="7">
        <f t="shared" si="0"/>
        <v>43086</v>
      </c>
      <c r="C13" s="3">
        <f t="shared" si="2"/>
        <v>12</v>
      </c>
      <c r="D13" s="6" t="s">
        <v>42</v>
      </c>
      <c r="F13" s="7" t="s">
        <v>7</v>
      </c>
      <c r="G13" s="7" t="s">
        <v>51</v>
      </c>
      <c r="I13" s="15"/>
      <c r="J13" s="30" t="s">
        <v>64</v>
      </c>
      <c r="K13" s="27" t="s">
        <v>77</v>
      </c>
    </row>
    <row r="14" spans="1:13">
      <c r="A14" s="7">
        <f t="shared" si="1"/>
        <v>43087</v>
      </c>
      <c r="B14" s="7">
        <f t="shared" si="0"/>
        <v>43093</v>
      </c>
      <c r="C14" s="3">
        <f t="shared" si="2"/>
        <v>13</v>
      </c>
      <c r="D14" s="6" t="s">
        <v>42</v>
      </c>
      <c r="F14" s="9" t="s">
        <v>14</v>
      </c>
      <c r="G14" s="7" t="s">
        <v>51</v>
      </c>
      <c r="I14" s="15"/>
      <c r="J14" s="30" t="s">
        <v>66</v>
      </c>
      <c r="K14" s="27" t="s">
        <v>78</v>
      </c>
    </row>
    <row r="15" spans="1:13">
      <c r="A15" s="7">
        <f t="shared" si="1"/>
        <v>43094</v>
      </c>
      <c r="B15" s="7">
        <f t="shared" si="0"/>
        <v>43100</v>
      </c>
      <c r="C15" s="3">
        <v>1</v>
      </c>
      <c r="D15" s="8" t="s">
        <v>43</v>
      </c>
      <c r="F15" s="7" t="s">
        <v>5</v>
      </c>
      <c r="G15" s="7" t="s">
        <v>52</v>
      </c>
      <c r="I15" s="15"/>
      <c r="J15" s="36" t="s">
        <v>96</v>
      </c>
      <c r="K15" s="33" t="s">
        <v>97</v>
      </c>
    </row>
    <row r="16" spans="1:13">
      <c r="A16" s="7">
        <f t="shared" si="1"/>
        <v>43101</v>
      </c>
      <c r="B16" s="7">
        <f t="shared" si="0"/>
        <v>43107</v>
      </c>
      <c r="C16" s="3">
        <f t="shared" ref="C16:C27" si="3">C15+1</f>
        <v>2</v>
      </c>
      <c r="D16" s="8" t="s">
        <v>43</v>
      </c>
      <c r="F16" s="7" t="s">
        <v>8</v>
      </c>
      <c r="G16" s="7" t="s">
        <v>52</v>
      </c>
      <c r="I16" s="15"/>
      <c r="J16" s="36" t="s">
        <v>94</v>
      </c>
      <c r="K16" s="27" t="s">
        <v>92</v>
      </c>
    </row>
    <row r="17" spans="1:11" ht="15" thickBot="1">
      <c r="A17" s="7">
        <f t="shared" si="1"/>
        <v>43108</v>
      </c>
      <c r="B17" s="7">
        <f t="shared" si="0"/>
        <v>43114</v>
      </c>
      <c r="C17" s="3">
        <f t="shared" si="3"/>
        <v>3</v>
      </c>
      <c r="D17" s="8" t="s">
        <v>43</v>
      </c>
      <c r="F17" s="7" t="s">
        <v>12</v>
      </c>
      <c r="G17" s="7" t="s">
        <v>52</v>
      </c>
      <c r="I17" s="15"/>
      <c r="J17" s="37" t="s">
        <v>88</v>
      </c>
      <c r="K17" s="27" t="s">
        <v>89</v>
      </c>
    </row>
    <row r="18" spans="1:11">
      <c r="A18" s="7">
        <f t="shared" si="1"/>
        <v>43115</v>
      </c>
      <c r="B18" s="7">
        <f t="shared" si="0"/>
        <v>43121</v>
      </c>
      <c r="C18" s="3">
        <f t="shared" si="3"/>
        <v>4</v>
      </c>
      <c r="D18" s="8" t="s">
        <v>43</v>
      </c>
      <c r="F18" s="7" t="s">
        <v>15</v>
      </c>
      <c r="G18" s="7" t="s">
        <v>52</v>
      </c>
      <c r="I18" s="18" t="s">
        <v>37</v>
      </c>
      <c r="J18" s="38" t="s">
        <v>67</v>
      </c>
      <c r="K18" s="28" t="s">
        <v>87</v>
      </c>
    </row>
    <row r="19" spans="1:11">
      <c r="A19" s="7">
        <f t="shared" si="1"/>
        <v>43122</v>
      </c>
      <c r="B19" s="7">
        <f t="shared" si="0"/>
        <v>43128</v>
      </c>
      <c r="C19" s="3">
        <f t="shared" si="3"/>
        <v>5</v>
      </c>
      <c r="D19" s="8" t="s">
        <v>43</v>
      </c>
      <c r="F19" s="7" t="s">
        <v>11</v>
      </c>
      <c r="G19" s="7" t="s">
        <v>52</v>
      </c>
      <c r="I19" s="16"/>
      <c r="J19" s="39" t="s">
        <v>68</v>
      </c>
      <c r="K19" s="28" t="s">
        <v>75</v>
      </c>
    </row>
    <row r="20" spans="1:11">
      <c r="A20" s="7">
        <f t="shared" si="1"/>
        <v>43129</v>
      </c>
      <c r="B20" s="7">
        <f t="shared" si="0"/>
        <v>43135</v>
      </c>
      <c r="C20" s="3">
        <f t="shared" si="3"/>
        <v>6</v>
      </c>
      <c r="D20" s="8" t="s">
        <v>43</v>
      </c>
      <c r="F20" s="7" t="s">
        <v>9</v>
      </c>
      <c r="G20" s="7" t="s">
        <v>53</v>
      </c>
      <c r="I20" s="16"/>
      <c r="J20" s="39" t="s">
        <v>98</v>
      </c>
      <c r="K20" s="28" t="s">
        <v>74</v>
      </c>
    </row>
    <row r="21" spans="1:11">
      <c r="A21" s="7">
        <f t="shared" si="1"/>
        <v>43136</v>
      </c>
      <c r="B21" s="7">
        <f t="shared" si="0"/>
        <v>43142</v>
      </c>
      <c r="C21" s="3">
        <f t="shared" si="3"/>
        <v>7</v>
      </c>
      <c r="D21" s="8" t="s">
        <v>43</v>
      </c>
      <c r="F21" s="9" t="s">
        <v>4</v>
      </c>
      <c r="G21" s="7" t="s">
        <v>53</v>
      </c>
      <c r="I21" s="16"/>
      <c r="J21" s="39" t="s">
        <v>95</v>
      </c>
      <c r="K21" s="28" t="s">
        <v>93</v>
      </c>
    </row>
    <row r="22" spans="1:11" ht="15" thickBot="1">
      <c r="A22" s="7">
        <f t="shared" si="1"/>
        <v>43143</v>
      </c>
      <c r="B22" s="7">
        <f t="shared" si="0"/>
        <v>43149</v>
      </c>
      <c r="C22" s="3">
        <f t="shared" si="3"/>
        <v>8</v>
      </c>
      <c r="D22" s="8" t="s">
        <v>43</v>
      </c>
      <c r="F22" s="9" t="s">
        <v>18</v>
      </c>
      <c r="G22" s="7" t="s">
        <v>58</v>
      </c>
      <c r="I22" s="17"/>
      <c r="J22" s="40" t="s">
        <v>20</v>
      </c>
      <c r="K22" s="41" t="s">
        <v>73</v>
      </c>
    </row>
    <row r="23" spans="1:11">
      <c r="A23" s="7">
        <f t="shared" si="1"/>
        <v>43150</v>
      </c>
      <c r="B23" s="7">
        <f t="shared" si="0"/>
        <v>43156</v>
      </c>
      <c r="C23" s="3">
        <f t="shared" si="3"/>
        <v>9</v>
      </c>
      <c r="D23" s="8" t="s">
        <v>43</v>
      </c>
    </row>
    <row r="24" spans="1:11">
      <c r="A24" s="7">
        <f t="shared" si="1"/>
        <v>43157</v>
      </c>
      <c r="B24" s="7">
        <f t="shared" si="0"/>
        <v>43163</v>
      </c>
      <c r="C24" s="3">
        <f t="shared" si="3"/>
        <v>10</v>
      </c>
      <c r="D24" s="8" t="s">
        <v>43</v>
      </c>
    </row>
    <row r="25" spans="1:11">
      <c r="A25" s="7">
        <f t="shared" si="1"/>
        <v>43164</v>
      </c>
      <c r="B25" s="7">
        <f t="shared" si="0"/>
        <v>43170</v>
      </c>
      <c r="C25" s="3">
        <f t="shared" si="3"/>
        <v>11</v>
      </c>
      <c r="D25" s="8" t="s">
        <v>43</v>
      </c>
    </row>
    <row r="26" spans="1:11">
      <c r="A26" s="7">
        <f t="shared" si="1"/>
        <v>43171</v>
      </c>
      <c r="B26" s="7">
        <f t="shared" si="0"/>
        <v>43177</v>
      </c>
      <c r="C26" s="3">
        <f t="shared" si="3"/>
        <v>12</v>
      </c>
      <c r="D26" s="8" t="s">
        <v>43</v>
      </c>
    </row>
    <row r="27" spans="1:11">
      <c r="A27" s="7">
        <f t="shared" si="1"/>
        <v>43178</v>
      </c>
      <c r="B27" s="7">
        <f t="shared" si="0"/>
        <v>43184</v>
      </c>
      <c r="C27" s="3">
        <f t="shared" si="3"/>
        <v>13</v>
      </c>
      <c r="D27" s="8" t="s">
        <v>43</v>
      </c>
    </row>
    <row r="28" spans="1:11">
      <c r="A28" s="7">
        <f t="shared" si="1"/>
        <v>43185</v>
      </c>
      <c r="B28" s="7">
        <f t="shared" si="0"/>
        <v>43191</v>
      </c>
      <c r="C28" s="3">
        <v>1</v>
      </c>
      <c r="D28" s="6" t="s">
        <v>44</v>
      </c>
    </row>
    <row r="29" spans="1:11">
      <c r="A29" s="7">
        <f t="shared" si="1"/>
        <v>43192</v>
      </c>
      <c r="B29" s="7">
        <f t="shared" si="0"/>
        <v>43198</v>
      </c>
      <c r="C29" s="3">
        <f t="shared" ref="C29:C40" si="4">C28+1</f>
        <v>2</v>
      </c>
      <c r="D29" s="6" t="s">
        <v>44</v>
      </c>
    </row>
    <row r="30" spans="1:11">
      <c r="A30" s="7">
        <f t="shared" si="1"/>
        <v>43199</v>
      </c>
      <c r="B30" s="7">
        <f t="shared" si="0"/>
        <v>43205</v>
      </c>
      <c r="C30" s="3">
        <f t="shared" si="4"/>
        <v>3</v>
      </c>
      <c r="D30" s="6" t="s">
        <v>44</v>
      </c>
    </row>
    <row r="31" spans="1:11">
      <c r="A31" s="7">
        <f t="shared" si="1"/>
        <v>43206</v>
      </c>
      <c r="B31" s="7">
        <f t="shared" si="0"/>
        <v>43212</v>
      </c>
      <c r="C31" s="3">
        <f t="shared" si="4"/>
        <v>4</v>
      </c>
      <c r="D31" s="6" t="s">
        <v>44</v>
      </c>
    </row>
    <row r="32" spans="1:11">
      <c r="A32" s="7">
        <f t="shared" si="1"/>
        <v>43213</v>
      </c>
      <c r="B32" s="7">
        <f t="shared" si="0"/>
        <v>43219</v>
      </c>
      <c r="C32" s="3">
        <f t="shared" si="4"/>
        <v>5</v>
      </c>
      <c r="D32" s="6" t="s">
        <v>44</v>
      </c>
    </row>
    <row r="33" spans="1:4">
      <c r="A33" s="7">
        <f t="shared" si="1"/>
        <v>43220</v>
      </c>
      <c r="B33" s="7">
        <f t="shared" si="0"/>
        <v>43226</v>
      </c>
      <c r="C33" s="3">
        <f t="shared" si="4"/>
        <v>6</v>
      </c>
      <c r="D33" s="6" t="s">
        <v>44</v>
      </c>
    </row>
    <row r="34" spans="1:4">
      <c r="A34" s="7">
        <f t="shared" si="1"/>
        <v>43227</v>
      </c>
      <c r="B34" s="7">
        <f t="shared" ref="B34:B65" si="5">A34+6</f>
        <v>43233</v>
      </c>
      <c r="C34" s="3">
        <f t="shared" si="4"/>
        <v>7</v>
      </c>
      <c r="D34" s="6" t="s">
        <v>44</v>
      </c>
    </row>
    <row r="35" spans="1:4">
      <c r="A35" s="7">
        <f t="shared" ref="A35:A98" si="6">A34+7</f>
        <v>43234</v>
      </c>
      <c r="B35" s="7">
        <f t="shared" si="5"/>
        <v>43240</v>
      </c>
      <c r="C35" s="3">
        <f t="shared" si="4"/>
        <v>8</v>
      </c>
      <c r="D35" s="6" t="s">
        <v>44</v>
      </c>
    </row>
    <row r="36" spans="1:4">
      <c r="A36" s="7">
        <f t="shared" si="6"/>
        <v>43241</v>
      </c>
      <c r="B36" s="7">
        <f t="shared" si="5"/>
        <v>43247</v>
      </c>
      <c r="C36" s="3">
        <f t="shared" si="4"/>
        <v>9</v>
      </c>
      <c r="D36" s="6" t="s">
        <v>44</v>
      </c>
    </row>
    <row r="37" spans="1:4">
      <c r="A37" s="7">
        <f t="shared" si="6"/>
        <v>43248</v>
      </c>
      <c r="B37" s="7">
        <f t="shared" si="5"/>
        <v>43254</v>
      </c>
      <c r="C37" s="3">
        <f t="shared" si="4"/>
        <v>10</v>
      </c>
      <c r="D37" s="6" t="s">
        <v>44</v>
      </c>
    </row>
    <row r="38" spans="1:4">
      <c r="A38" s="7">
        <f t="shared" si="6"/>
        <v>43255</v>
      </c>
      <c r="B38" s="7">
        <f t="shared" si="5"/>
        <v>43261</v>
      </c>
      <c r="C38" s="3">
        <f t="shared" si="4"/>
        <v>11</v>
      </c>
      <c r="D38" s="6" t="s">
        <v>44</v>
      </c>
    </row>
    <row r="39" spans="1:4">
      <c r="A39" s="7">
        <f t="shared" si="6"/>
        <v>43262</v>
      </c>
      <c r="B39" s="7">
        <f t="shared" si="5"/>
        <v>43268</v>
      </c>
      <c r="C39" s="3">
        <f t="shared" si="4"/>
        <v>12</v>
      </c>
      <c r="D39" s="6" t="s">
        <v>44</v>
      </c>
    </row>
    <row r="40" spans="1:4">
      <c r="A40" s="7">
        <f t="shared" si="6"/>
        <v>43269</v>
      </c>
      <c r="B40" s="7">
        <f t="shared" si="5"/>
        <v>43275</v>
      </c>
      <c r="C40" s="3">
        <f t="shared" si="4"/>
        <v>13</v>
      </c>
      <c r="D40" s="6" t="s">
        <v>44</v>
      </c>
    </row>
    <row r="41" spans="1:4">
      <c r="A41" s="7">
        <f t="shared" si="6"/>
        <v>43276</v>
      </c>
      <c r="B41" s="7">
        <f t="shared" si="5"/>
        <v>43282</v>
      </c>
      <c r="C41" s="3">
        <v>1</v>
      </c>
      <c r="D41" s="6" t="s">
        <v>48</v>
      </c>
    </row>
    <row r="42" spans="1:4">
      <c r="A42" s="7">
        <f t="shared" si="6"/>
        <v>43283</v>
      </c>
      <c r="B42" s="7">
        <f t="shared" si="5"/>
        <v>43289</v>
      </c>
      <c r="C42" s="3">
        <v>2</v>
      </c>
      <c r="D42" s="6" t="s">
        <v>48</v>
      </c>
    </row>
    <row r="43" spans="1:4">
      <c r="A43" s="7">
        <f t="shared" si="6"/>
        <v>43290</v>
      </c>
      <c r="B43" s="7">
        <f t="shared" si="5"/>
        <v>43296</v>
      </c>
      <c r="C43" s="3">
        <v>3</v>
      </c>
      <c r="D43" s="6" t="s">
        <v>48</v>
      </c>
    </row>
    <row r="44" spans="1:4">
      <c r="A44" s="7">
        <f t="shared" si="6"/>
        <v>43297</v>
      </c>
      <c r="B44" s="7">
        <f t="shared" si="5"/>
        <v>43303</v>
      </c>
      <c r="C44" s="3">
        <v>4</v>
      </c>
      <c r="D44" s="6" t="s">
        <v>48</v>
      </c>
    </row>
    <row r="45" spans="1:4">
      <c r="A45" s="7">
        <f t="shared" si="6"/>
        <v>43304</v>
      </c>
      <c r="B45" s="7">
        <f t="shared" si="5"/>
        <v>43310</v>
      </c>
      <c r="C45" s="3">
        <v>5</v>
      </c>
      <c r="D45" s="6" t="s">
        <v>48</v>
      </c>
    </row>
    <row r="46" spans="1:4">
      <c r="A46" s="7">
        <f t="shared" si="6"/>
        <v>43311</v>
      </c>
      <c r="B46" s="7">
        <f t="shared" si="5"/>
        <v>43317</v>
      </c>
      <c r="C46" s="3">
        <v>6</v>
      </c>
      <c r="D46" s="6" t="s">
        <v>48</v>
      </c>
    </row>
    <row r="47" spans="1:4">
      <c r="A47" s="7">
        <f t="shared" si="6"/>
        <v>43318</v>
      </c>
      <c r="B47" s="7">
        <f t="shared" si="5"/>
        <v>43324</v>
      </c>
      <c r="C47" s="3">
        <v>7</v>
      </c>
      <c r="D47" s="6" t="s">
        <v>48</v>
      </c>
    </row>
    <row r="48" spans="1:4">
      <c r="A48" s="7">
        <f t="shared" si="6"/>
        <v>43325</v>
      </c>
      <c r="B48" s="7">
        <f t="shared" si="5"/>
        <v>43331</v>
      </c>
      <c r="C48" s="3">
        <v>8</v>
      </c>
      <c r="D48" s="6" t="s">
        <v>48</v>
      </c>
    </row>
    <row r="49" spans="1:4">
      <c r="A49" s="7">
        <f t="shared" si="6"/>
        <v>43332</v>
      </c>
      <c r="B49" s="7">
        <f t="shared" si="5"/>
        <v>43338</v>
      </c>
      <c r="C49" s="3">
        <v>9</v>
      </c>
      <c r="D49" s="6" t="s">
        <v>48</v>
      </c>
    </row>
    <row r="50" spans="1:4">
      <c r="A50" s="7">
        <f t="shared" si="6"/>
        <v>43339</v>
      </c>
      <c r="B50" s="7">
        <f t="shared" si="5"/>
        <v>43345</v>
      </c>
      <c r="C50" s="3">
        <v>10</v>
      </c>
      <c r="D50" s="6" t="s">
        <v>48</v>
      </c>
    </row>
    <row r="51" spans="1:4">
      <c r="A51" s="7">
        <f t="shared" si="6"/>
        <v>43346</v>
      </c>
      <c r="B51" s="7">
        <f t="shared" si="5"/>
        <v>43352</v>
      </c>
      <c r="C51" s="3">
        <v>11</v>
      </c>
      <c r="D51" s="6" t="s">
        <v>48</v>
      </c>
    </row>
    <row r="52" spans="1:4">
      <c r="A52" s="7">
        <f t="shared" si="6"/>
        <v>43353</v>
      </c>
      <c r="B52" s="7">
        <f t="shared" si="5"/>
        <v>43359</v>
      </c>
      <c r="C52" s="3">
        <v>12</v>
      </c>
      <c r="D52" s="6" t="s">
        <v>48</v>
      </c>
    </row>
    <row r="53" spans="1:4">
      <c r="A53" s="7">
        <f t="shared" si="6"/>
        <v>43360</v>
      </c>
      <c r="B53" s="7">
        <f t="shared" si="5"/>
        <v>43366</v>
      </c>
      <c r="C53" s="3">
        <v>13</v>
      </c>
      <c r="D53" s="6" t="s">
        <v>48</v>
      </c>
    </row>
    <row r="54" spans="1:4">
      <c r="A54" s="7">
        <f t="shared" si="6"/>
        <v>43367</v>
      </c>
      <c r="B54" s="7">
        <f t="shared" si="5"/>
        <v>43373</v>
      </c>
      <c r="C54" s="3">
        <v>1</v>
      </c>
      <c r="D54" s="6" t="s">
        <v>56</v>
      </c>
    </row>
    <row r="55" spans="1:4">
      <c r="A55" s="7">
        <f t="shared" si="6"/>
        <v>43374</v>
      </c>
      <c r="B55" s="7">
        <f t="shared" si="5"/>
        <v>43380</v>
      </c>
      <c r="C55" s="3">
        <v>2</v>
      </c>
      <c r="D55" s="6" t="s">
        <v>56</v>
      </c>
    </row>
    <row r="56" spans="1:4">
      <c r="A56" s="7">
        <f t="shared" si="6"/>
        <v>43381</v>
      </c>
      <c r="B56" s="7">
        <f t="shared" si="5"/>
        <v>43387</v>
      </c>
      <c r="C56" s="3">
        <v>3</v>
      </c>
      <c r="D56" s="6" t="s">
        <v>56</v>
      </c>
    </row>
    <row r="57" spans="1:4">
      <c r="A57" s="7">
        <f t="shared" si="6"/>
        <v>43388</v>
      </c>
      <c r="B57" s="7">
        <f t="shared" si="5"/>
        <v>43394</v>
      </c>
      <c r="C57" s="3">
        <v>4</v>
      </c>
      <c r="D57" s="6" t="s">
        <v>56</v>
      </c>
    </row>
    <row r="58" spans="1:4">
      <c r="A58" s="7">
        <f t="shared" si="6"/>
        <v>43395</v>
      </c>
      <c r="B58" s="7">
        <f t="shared" si="5"/>
        <v>43401</v>
      </c>
      <c r="C58" s="3">
        <v>5</v>
      </c>
      <c r="D58" s="6" t="s">
        <v>56</v>
      </c>
    </row>
    <row r="59" spans="1:4">
      <c r="A59" s="7">
        <f t="shared" si="6"/>
        <v>43402</v>
      </c>
      <c r="B59" s="7">
        <f t="shared" si="5"/>
        <v>43408</v>
      </c>
      <c r="C59" s="3">
        <v>6</v>
      </c>
      <c r="D59" s="6" t="s">
        <v>56</v>
      </c>
    </row>
    <row r="60" spans="1:4">
      <c r="A60" s="7">
        <f t="shared" si="6"/>
        <v>43409</v>
      </c>
      <c r="B60" s="7">
        <f t="shared" si="5"/>
        <v>43415</v>
      </c>
      <c r="C60" s="3">
        <v>7</v>
      </c>
      <c r="D60" s="6" t="s">
        <v>56</v>
      </c>
    </row>
    <row r="61" spans="1:4">
      <c r="A61" s="7">
        <f t="shared" si="6"/>
        <v>43416</v>
      </c>
      <c r="B61" s="7">
        <f t="shared" si="5"/>
        <v>43422</v>
      </c>
      <c r="C61" s="3">
        <v>8</v>
      </c>
      <c r="D61" s="6" t="s">
        <v>56</v>
      </c>
    </row>
    <row r="62" spans="1:4">
      <c r="A62" s="7">
        <f t="shared" si="6"/>
        <v>43423</v>
      </c>
      <c r="B62" s="7">
        <f t="shared" si="5"/>
        <v>43429</v>
      </c>
      <c r="C62" s="3">
        <v>9</v>
      </c>
      <c r="D62" s="6" t="s">
        <v>56</v>
      </c>
    </row>
    <row r="63" spans="1:4">
      <c r="A63" s="7">
        <f t="shared" si="6"/>
        <v>43430</v>
      </c>
      <c r="B63" s="7">
        <f t="shared" si="5"/>
        <v>43436</v>
      </c>
      <c r="C63" s="3">
        <v>10</v>
      </c>
      <c r="D63" s="6" t="s">
        <v>56</v>
      </c>
    </row>
    <row r="64" spans="1:4">
      <c r="A64" s="7">
        <f t="shared" si="6"/>
        <v>43437</v>
      </c>
      <c r="B64" s="7">
        <f t="shared" si="5"/>
        <v>43443</v>
      </c>
      <c r="C64" s="3">
        <v>11</v>
      </c>
      <c r="D64" s="6" t="s">
        <v>56</v>
      </c>
    </row>
    <row r="65" spans="1:4">
      <c r="A65" s="7">
        <f t="shared" si="6"/>
        <v>43444</v>
      </c>
      <c r="B65" s="7">
        <f t="shared" si="5"/>
        <v>43450</v>
      </c>
      <c r="C65" s="3">
        <v>12</v>
      </c>
      <c r="D65" s="6" t="s">
        <v>56</v>
      </c>
    </row>
    <row r="66" spans="1:4">
      <c r="A66" s="7">
        <f t="shared" si="6"/>
        <v>43451</v>
      </c>
      <c r="B66" s="7">
        <f>A66+6</f>
        <v>43457</v>
      </c>
      <c r="C66" s="3">
        <v>13</v>
      </c>
      <c r="D66" s="6" t="s">
        <v>56</v>
      </c>
    </row>
    <row r="67" spans="1:4">
      <c r="A67" s="7">
        <f t="shared" si="6"/>
        <v>43458</v>
      </c>
      <c r="B67" s="7">
        <f t="shared" ref="B67:B79" si="7">A67+6</f>
        <v>43464</v>
      </c>
      <c r="C67" s="3">
        <v>1</v>
      </c>
      <c r="D67" s="8" t="s">
        <v>110</v>
      </c>
    </row>
    <row r="68" spans="1:4">
      <c r="A68" s="7">
        <f t="shared" si="6"/>
        <v>43465</v>
      </c>
      <c r="B68" s="7">
        <f t="shared" si="7"/>
        <v>43471</v>
      </c>
      <c r="C68" s="3">
        <f t="shared" ref="C68:C79" si="8">C67+1</f>
        <v>2</v>
      </c>
      <c r="D68" s="8" t="s">
        <v>110</v>
      </c>
    </row>
    <row r="69" spans="1:4">
      <c r="A69" s="7">
        <f t="shared" si="6"/>
        <v>43472</v>
      </c>
      <c r="B69" s="7">
        <f t="shared" si="7"/>
        <v>43478</v>
      </c>
      <c r="C69" s="3">
        <f t="shared" si="8"/>
        <v>3</v>
      </c>
      <c r="D69" s="8" t="s">
        <v>110</v>
      </c>
    </row>
    <row r="70" spans="1:4">
      <c r="A70" s="7">
        <f t="shared" si="6"/>
        <v>43479</v>
      </c>
      <c r="B70" s="7">
        <f t="shared" si="7"/>
        <v>43485</v>
      </c>
      <c r="C70" s="3">
        <f t="shared" si="8"/>
        <v>4</v>
      </c>
      <c r="D70" s="8" t="s">
        <v>110</v>
      </c>
    </row>
    <row r="71" spans="1:4">
      <c r="A71" s="7">
        <f t="shared" si="6"/>
        <v>43486</v>
      </c>
      <c r="B71" s="7">
        <f t="shared" si="7"/>
        <v>43492</v>
      </c>
      <c r="C71" s="3">
        <f t="shared" si="8"/>
        <v>5</v>
      </c>
      <c r="D71" s="8" t="s">
        <v>110</v>
      </c>
    </row>
    <row r="72" spans="1:4">
      <c r="A72" s="7">
        <f t="shared" si="6"/>
        <v>43493</v>
      </c>
      <c r="B72" s="7">
        <f t="shared" si="7"/>
        <v>43499</v>
      </c>
      <c r="C72" s="3">
        <f t="shared" si="8"/>
        <v>6</v>
      </c>
      <c r="D72" s="8" t="s">
        <v>110</v>
      </c>
    </row>
    <row r="73" spans="1:4">
      <c r="A73" s="7">
        <f t="shared" si="6"/>
        <v>43500</v>
      </c>
      <c r="B73" s="7">
        <f t="shared" si="7"/>
        <v>43506</v>
      </c>
      <c r="C73" s="3">
        <f t="shared" si="8"/>
        <v>7</v>
      </c>
      <c r="D73" s="8" t="s">
        <v>110</v>
      </c>
    </row>
    <row r="74" spans="1:4">
      <c r="A74" s="7">
        <f t="shared" si="6"/>
        <v>43507</v>
      </c>
      <c r="B74" s="7">
        <f t="shared" si="7"/>
        <v>43513</v>
      </c>
      <c r="C74" s="3">
        <f t="shared" si="8"/>
        <v>8</v>
      </c>
      <c r="D74" s="8" t="s">
        <v>110</v>
      </c>
    </row>
    <row r="75" spans="1:4">
      <c r="A75" s="7">
        <f t="shared" si="6"/>
        <v>43514</v>
      </c>
      <c r="B75" s="7">
        <f t="shared" si="7"/>
        <v>43520</v>
      </c>
      <c r="C75" s="3">
        <f t="shared" si="8"/>
        <v>9</v>
      </c>
      <c r="D75" s="8" t="s">
        <v>110</v>
      </c>
    </row>
    <row r="76" spans="1:4">
      <c r="A76" s="7">
        <f t="shared" si="6"/>
        <v>43521</v>
      </c>
      <c r="B76" s="7">
        <f t="shared" si="7"/>
        <v>43527</v>
      </c>
      <c r="C76" s="3">
        <f t="shared" si="8"/>
        <v>10</v>
      </c>
      <c r="D76" s="8" t="s">
        <v>110</v>
      </c>
    </row>
    <row r="77" spans="1:4">
      <c r="A77" s="7">
        <f t="shared" si="6"/>
        <v>43528</v>
      </c>
      <c r="B77" s="7">
        <f t="shared" si="7"/>
        <v>43534</v>
      </c>
      <c r="C77" s="3">
        <f t="shared" si="8"/>
        <v>11</v>
      </c>
      <c r="D77" s="8" t="s">
        <v>110</v>
      </c>
    </row>
    <row r="78" spans="1:4">
      <c r="A78" s="7">
        <f t="shared" si="6"/>
        <v>43535</v>
      </c>
      <c r="B78" s="7">
        <f t="shared" si="7"/>
        <v>43541</v>
      </c>
      <c r="C78" s="3">
        <f t="shared" si="8"/>
        <v>12</v>
      </c>
      <c r="D78" s="8" t="s">
        <v>110</v>
      </c>
    </row>
    <row r="79" spans="1:4">
      <c r="A79" s="7">
        <f t="shared" si="6"/>
        <v>43542</v>
      </c>
      <c r="B79" s="7">
        <f t="shared" si="7"/>
        <v>43548</v>
      </c>
      <c r="C79" s="3">
        <f t="shared" si="8"/>
        <v>13</v>
      </c>
      <c r="D79" s="8" t="s">
        <v>110</v>
      </c>
    </row>
    <row r="80" spans="1:4">
      <c r="A80" s="7">
        <f t="shared" si="6"/>
        <v>43549</v>
      </c>
      <c r="B80" s="7">
        <f>A80+6</f>
        <v>43555</v>
      </c>
      <c r="C80" s="3">
        <v>14</v>
      </c>
      <c r="D80" s="8" t="s">
        <v>110</v>
      </c>
    </row>
    <row r="81" spans="1:4">
      <c r="A81" s="7">
        <f t="shared" si="6"/>
        <v>43556</v>
      </c>
      <c r="B81" s="7">
        <f t="shared" ref="B81:B144" si="9">A81+6</f>
        <v>43562</v>
      </c>
      <c r="C81" s="3">
        <v>1</v>
      </c>
      <c r="D81" s="8" t="s">
        <v>111</v>
      </c>
    </row>
    <row r="82" spans="1:4">
      <c r="A82" s="7">
        <f t="shared" si="6"/>
        <v>43563</v>
      </c>
      <c r="B82" s="7">
        <f t="shared" si="9"/>
        <v>43569</v>
      </c>
      <c r="C82" s="3">
        <f t="shared" ref="C82:C93" si="10">C81+1</f>
        <v>2</v>
      </c>
      <c r="D82" s="8" t="s">
        <v>111</v>
      </c>
    </row>
    <row r="83" spans="1:4">
      <c r="A83" s="7">
        <f t="shared" si="6"/>
        <v>43570</v>
      </c>
      <c r="B83" s="7">
        <f t="shared" si="9"/>
        <v>43576</v>
      </c>
      <c r="C83" s="3">
        <f t="shared" si="10"/>
        <v>3</v>
      </c>
      <c r="D83" s="8" t="s">
        <v>111</v>
      </c>
    </row>
    <row r="84" spans="1:4">
      <c r="A84" s="7">
        <f t="shared" si="6"/>
        <v>43577</v>
      </c>
      <c r="B84" s="7">
        <f t="shared" si="9"/>
        <v>43583</v>
      </c>
      <c r="C84" s="3">
        <f t="shared" si="10"/>
        <v>4</v>
      </c>
      <c r="D84" s="8" t="s">
        <v>111</v>
      </c>
    </row>
    <row r="85" spans="1:4">
      <c r="A85" s="7">
        <f t="shared" si="6"/>
        <v>43584</v>
      </c>
      <c r="B85" s="7">
        <f t="shared" si="9"/>
        <v>43590</v>
      </c>
      <c r="C85" s="3">
        <f t="shared" si="10"/>
        <v>5</v>
      </c>
      <c r="D85" s="8" t="s">
        <v>111</v>
      </c>
    </row>
    <row r="86" spans="1:4">
      <c r="A86" s="7">
        <f t="shared" si="6"/>
        <v>43591</v>
      </c>
      <c r="B86" s="7">
        <f t="shared" si="9"/>
        <v>43597</v>
      </c>
      <c r="C86" s="3">
        <f t="shared" si="10"/>
        <v>6</v>
      </c>
      <c r="D86" s="8" t="s">
        <v>111</v>
      </c>
    </row>
    <row r="87" spans="1:4">
      <c r="A87" s="7">
        <f t="shared" si="6"/>
        <v>43598</v>
      </c>
      <c r="B87" s="7">
        <f t="shared" si="9"/>
        <v>43604</v>
      </c>
      <c r="C87" s="3">
        <f t="shared" si="10"/>
        <v>7</v>
      </c>
      <c r="D87" s="8" t="s">
        <v>111</v>
      </c>
    </row>
    <row r="88" spans="1:4">
      <c r="A88" s="7">
        <f t="shared" si="6"/>
        <v>43605</v>
      </c>
      <c r="B88" s="7">
        <f t="shared" si="9"/>
        <v>43611</v>
      </c>
      <c r="C88" s="3">
        <f t="shared" si="10"/>
        <v>8</v>
      </c>
      <c r="D88" s="8" t="s">
        <v>111</v>
      </c>
    </row>
    <row r="89" spans="1:4">
      <c r="A89" s="7">
        <f t="shared" si="6"/>
        <v>43612</v>
      </c>
      <c r="B89" s="7">
        <f t="shared" si="9"/>
        <v>43618</v>
      </c>
      <c r="C89" s="3">
        <f t="shared" si="10"/>
        <v>9</v>
      </c>
      <c r="D89" s="8" t="s">
        <v>111</v>
      </c>
    </row>
    <row r="90" spans="1:4">
      <c r="A90" s="7">
        <f t="shared" si="6"/>
        <v>43619</v>
      </c>
      <c r="B90" s="7">
        <f t="shared" si="9"/>
        <v>43625</v>
      </c>
      <c r="C90" s="3">
        <f t="shared" si="10"/>
        <v>10</v>
      </c>
      <c r="D90" s="8" t="s">
        <v>111</v>
      </c>
    </row>
    <row r="91" spans="1:4">
      <c r="A91" s="7">
        <f t="shared" si="6"/>
        <v>43626</v>
      </c>
      <c r="B91" s="7">
        <f t="shared" si="9"/>
        <v>43632</v>
      </c>
      <c r="C91" s="3">
        <f t="shared" si="10"/>
        <v>11</v>
      </c>
      <c r="D91" s="8" t="s">
        <v>111</v>
      </c>
    </row>
    <row r="92" spans="1:4">
      <c r="A92" s="7">
        <f t="shared" si="6"/>
        <v>43633</v>
      </c>
      <c r="B92" s="7">
        <f t="shared" si="9"/>
        <v>43639</v>
      </c>
      <c r="C92" s="3">
        <f t="shared" si="10"/>
        <v>12</v>
      </c>
      <c r="D92" s="8" t="s">
        <v>111</v>
      </c>
    </row>
    <row r="93" spans="1:4">
      <c r="A93" s="7">
        <f t="shared" si="6"/>
        <v>43640</v>
      </c>
      <c r="B93" s="7">
        <f t="shared" si="9"/>
        <v>43646</v>
      </c>
      <c r="C93" s="3">
        <f t="shared" si="10"/>
        <v>13</v>
      </c>
      <c r="D93" s="8" t="s">
        <v>111</v>
      </c>
    </row>
    <row r="94" spans="1:4">
      <c r="A94" s="7">
        <f t="shared" si="6"/>
        <v>43647</v>
      </c>
      <c r="B94" s="7">
        <f t="shared" si="9"/>
        <v>43653</v>
      </c>
    </row>
    <row r="95" spans="1:4">
      <c r="A95" s="7">
        <f t="shared" si="6"/>
        <v>43654</v>
      </c>
      <c r="B95" s="7">
        <f t="shared" si="9"/>
        <v>43660</v>
      </c>
    </row>
    <row r="96" spans="1:4">
      <c r="A96" s="7">
        <f t="shared" si="6"/>
        <v>43661</v>
      </c>
      <c r="B96" s="7">
        <f t="shared" si="9"/>
        <v>43667</v>
      </c>
    </row>
    <row r="97" spans="1:2">
      <c r="A97" s="7">
        <f t="shared" si="6"/>
        <v>43668</v>
      </c>
      <c r="B97" s="7">
        <f t="shared" si="9"/>
        <v>43674</v>
      </c>
    </row>
    <row r="98" spans="1:2">
      <c r="A98" s="7">
        <f t="shared" si="6"/>
        <v>43675</v>
      </c>
      <c r="B98" s="7">
        <f t="shared" si="9"/>
        <v>43681</v>
      </c>
    </row>
    <row r="99" spans="1:2">
      <c r="A99" s="7">
        <f t="shared" ref="A99:A162" si="11">A98+7</f>
        <v>43682</v>
      </c>
      <c r="B99" s="7">
        <f t="shared" si="9"/>
        <v>43688</v>
      </c>
    </row>
    <row r="100" spans="1:2">
      <c r="A100" s="7">
        <f t="shared" si="11"/>
        <v>43689</v>
      </c>
      <c r="B100" s="7">
        <f t="shared" si="9"/>
        <v>43695</v>
      </c>
    </row>
    <row r="101" spans="1:2">
      <c r="A101" s="7">
        <f t="shared" si="11"/>
        <v>43696</v>
      </c>
      <c r="B101" s="7">
        <f t="shared" si="9"/>
        <v>43702</v>
      </c>
    </row>
    <row r="102" spans="1:2">
      <c r="A102" s="7">
        <f t="shared" si="11"/>
        <v>43703</v>
      </c>
      <c r="B102" s="7">
        <f t="shared" si="9"/>
        <v>43709</v>
      </c>
    </row>
    <row r="103" spans="1:2">
      <c r="A103" s="7">
        <f t="shared" si="11"/>
        <v>43710</v>
      </c>
      <c r="B103" s="7">
        <f t="shared" si="9"/>
        <v>43716</v>
      </c>
    </row>
    <row r="104" spans="1:2">
      <c r="A104" s="7">
        <f t="shared" si="11"/>
        <v>43717</v>
      </c>
      <c r="B104" s="7">
        <f t="shared" si="9"/>
        <v>43723</v>
      </c>
    </row>
    <row r="105" spans="1:2">
      <c r="A105" s="7">
        <f t="shared" si="11"/>
        <v>43724</v>
      </c>
      <c r="B105" s="7">
        <f t="shared" si="9"/>
        <v>43730</v>
      </c>
    </row>
    <row r="106" spans="1:2">
      <c r="A106" s="7">
        <f t="shared" si="11"/>
        <v>43731</v>
      </c>
      <c r="B106" s="7">
        <f t="shared" si="9"/>
        <v>43737</v>
      </c>
    </row>
    <row r="107" spans="1:2">
      <c r="A107" s="7">
        <f t="shared" si="11"/>
        <v>43738</v>
      </c>
      <c r="B107" s="7">
        <f t="shared" si="9"/>
        <v>43744</v>
      </c>
    </row>
    <row r="108" spans="1:2">
      <c r="A108" s="7">
        <f t="shared" si="11"/>
        <v>43745</v>
      </c>
      <c r="B108" s="7">
        <f t="shared" si="9"/>
        <v>43751</v>
      </c>
    </row>
    <row r="109" spans="1:2">
      <c r="A109" s="7">
        <f t="shared" si="11"/>
        <v>43752</v>
      </c>
      <c r="B109" s="7">
        <f t="shared" si="9"/>
        <v>43758</v>
      </c>
    </row>
    <row r="110" spans="1:2">
      <c r="A110" s="7">
        <f t="shared" si="11"/>
        <v>43759</v>
      </c>
      <c r="B110" s="7">
        <f t="shared" si="9"/>
        <v>43765</v>
      </c>
    </row>
    <row r="111" spans="1:2">
      <c r="A111" s="7">
        <f t="shared" si="11"/>
        <v>43766</v>
      </c>
      <c r="B111" s="7">
        <f t="shared" si="9"/>
        <v>43772</v>
      </c>
    </row>
    <row r="112" spans="1:2">
      <c r="A112" s="7">
        <f t="shared" si="11"/>
        <v>43773</v>
      </c>
      <c r="B112" s="7">
        <f t="shared" si="9"/>
        <v>43779</v>
      </c>
    </row>
    <row r="113" spans="1:2">
      <c r="A113" s="7">
        <f t="shared" si="11"/>
        <v>43780</v>
      </c>
      <c r="B113" s="7">
        <f t="shared" si="9"/>
        <v>43786</v>
      </c>
    </row>
    <row r="114" spans="1:2">
      <c r="A114" s="7">
        <f t="shared" si="11"/>
        <v>43787</v>
      </c>
      <c r="B114" s="7">
        <f t="shared" si="9"/>
        <v>43793</v>
      </c>
    </row>
    <row r="115" spans="1:2">
      <c r="A115" s="7">
        <f t="shared" si="11"/>
        <v>43794</v>
      </c>
      <c r="B115" s="7">
        <f t="shared" si="9"/>
        <v>43800</v>
      </c>
    </row>
    <row r="116" spans="1:2">
      <c r="A116" s="7">
        <f t="shared" si="11"/>
        <v>43801</v>
      </c>
      <c r="B116" s="7">
        <f t="shared" si="9"/>
        <v>43807</v>
      </c>
    </row>
    <row r="117" spans="1:2">
      <c r="A117" s="7">
        <f t="shared" si="11"/>
        <v>43808</v>
      </c>
      <c r="B117" s="7">
        <f t="shared" si="9"/>
        <v>43814</v>
      </c>
    </row>
    <row r="118" spans="1:2">
      <c r="A118" s="7">
        <f t="shared" si="11"/>
        <v>43815</v>
      </c>
      <c r="B118" s="7">
        <f t="shared" si="9"/>
        <v>43821</v>
      </c>
    </row>
    <row r="119" spans="1:2">
      <c r="A119" s="7">
        <f t="shared" si="11"/>
        <v>43822</v>
      </c>
      <c r="B119" s="7">
        <f t="shared" si="9"/>
        <v>43828</v>
      </c>
    </row>
    <row r="120" spans="1:2">
      <c r="A120" s="7">
        <f t="shared" si="11"/>
        <v>43829</v>
      </c>
      <c r="B120" s="7">
        <f t="shared" si="9"/>
        <v>43835</v>
      </c>
    </row>
    <row r="121" spans="1:2">
      <c r="A121" s="7">
        <f t="shared" si="11"/>
        <v>43836</v>
      </c>
      <c r="B121" s="7">
        <f t="shared" si="9"/>
        <v>43842</v>
      </c>
    </row>
    <row r="122" spans="1:2">
      <c r="A122" s="7">
        <f t="shared" si="11"/>
        <v>43843</v>
      </c>
      <c r="B122" s="7">
        <f t="shared" si="9"/>
        <v>43849</v>
      </c>
    </row>
    <row r="123" spans="1:2">
      <c r="A123" s="7">
        <f t="shared" si="11"/>
        <v>43850</v>
      </c>
      <c r="B123" s="7">
        <f t="shared" si="9"/>
        <v>43856</v>
      </c>
    </row>
    <row r="124" spans="1:2">
      <c r="A124" s="7">
        <f t="shared" si="11"/>
        <v>43857</v>
      </c>
      <c r="B124" s="7">
        <f t="shared" si="9"/>
        <v>43863</v>
      </c>
    </row>
    <row r="125" spans="1:2">
      <c r="A125" s="7">
        <f t="shared" si="11"/>
        <v>43864</v>
      </c>
      <c r="B125" s="7">
        <f t="shared" si="9"/>
        <v>43870</v>
      </c>
    </row>
    <row r="126" spans="1:2">
      <c r="A126" s="7">
        <f t="shared" si="11"/>
        <v>43871</v>
      </c>
      <c r="B126" s="7">
        <f t="shared" si="9"/>
        <v>43877</v>
      </c>
    </row>
    <row r="127" spans="1:2">
      <c r="A127" s="7">
        <f t="shared" si="11"/>
        <v>43878</v>
      </c>
      <c r="B127" s="7">
        <f t="shared" si="9"/>
        <v>43884</v>
      </c>
    </row>
    <row r="128" spans="1:2">
      <c r="A128" s="7">
        <f t="shared" si="11"/>
        <v>43885</v>
      </c>
      <c r="B128" s="7">
        <f t="shared" si="9"/>
        <v>43891</v>
      </c>
    </row>
    <row r="129" spans="1:2">
      <c r="A129" s="7">
        <f t="shared" si="11"/>
        <v>43892</v>
      </c>
      <c r="B129" s="7">
        <f t="shared" si="9"/>
        <v>43898</v>
      </c>
    </row>
    <row r="130" spans="1:2">
      <c r="A130" s="7">
        <f t="shared" si="11"/>
        <v>43899</v>
      </c>
      <c r="B130" s="7">
        <f t="shared" si="9"/>
        <v>43905</v>
      </c>
    </row>
    <row r="131" spans="1:2">
      <c r="A131" s="7">
        <f t="shared" si="11"/>
        <v>43906</v>
      </c>
      <c r="B131" s="7">
        <f t="shared" si="9"/>
        <v>43912</v>
      </c>
    </row>
    <row r="132" spans="1:2">
      <c r="A132" s="7">
        <f t="shared" si="11"/>
        <v>43913</v>
      </c>
      <c r="B132" s="7">
        <f t="shared" si="9"/>
        <v>43919</v>
      </c>
    </row>
    <row r="133" spans="1:2">
      <c r="A133" s="7">
        <f t="shared" si="11"/>
        <v>43920</v>
      </c>
      <c r="B133" s="7">
        <f t="shared" si="9"/>
        <v>43926</v>
      </c>
    </row>
    <row r="134" spans="1:2">
      <c r="A134" s="7">
        <f t="shared" si="11"/>
        <v>43927</v>
      </c>
      <c r="B134" s="7">
        <f t="shared" si="9"/>
        <v>43933</v>
      </c>
    </row>
    <row r="135" spans="1:2">
      <c r="A135" s="7">
        <f t="shared" si="11"/>
        <v>43934</v>
      </c>
      <c r="B135" s="7">
        <f t="shared" si="9"/>
        <v>43940</v>
      </c>
    </row>
    <row r="136" spans="1:2">
      <c r="A136" s="7">
        <f t="shared" si="11"/>
        <v>43941</v>
      </c>
      <c r="B136" s="7">
        <f t="shared" si="9"/>
        <v>43947</v>
      </c>
    </row>
    <row r="137" spans="1:2">
      <c r="A137" s="7">
        <f t="shared" si="11"/>
        <v>43948</v>
      </c>
      <c r="B137" s="7">
        <f t="shared" si="9"/>
        <v>43954</v>
      </c>
    </row>
    <row r="138" spans="1:2">
      <c r="A138" s="7">
        <f t="shared" si="11"/>
        <v>43955</v>
      </c>
      <c r="B138" s="7">
        <f t="shared" si="9"/>
        <v>43961</v>
      </c>
    </row>
    <row r="139" spans="1:2">
      <c r="A139" s="7">
        <f t="shared" si="11"/>
        <v>43962</v>
      </c>
      <c r="B139" s="7">
        <f t="shared" si="9"/>
        <v>43968</v>
      </c>
    </row>
    <row r="140" spans="1:2">
      <c r="A140" s="7">
        <f t="shared" si="11"/>
        <v>43969</v>
      </c>
      <c r="B140" s="7">
        <f t="shared" si="9"/>
        <v>43975</v>
      </c>
    </row>
    <row r="141" spans="1:2">
      <c r="A141" s="7">
        <f t="shared" si="11"/>
        <v>43976</v>
      </c>
      <c r="B141" s="7">
        <f t="shared" si="9"/>
        <v>43982</v>
      </c>
    </row>
    <row r="142" spans="1:2">
      <c r="A142" s="7">
        <f t="shared" si="11"/>
        <v>43983</v>
      </c>
      <c r="B142" s="7">
        <f t="shared" si="9"/>
        <v>43989</v>
      </c>
    </row>
    <row r="143" spans="1:2">
      <c r="A143" s="7">
        <f t="shared" si="11"/>
        <v>43990</v>
      </c>
      <c r="B143" s="7">
        <f t="shared" si="9"/>
        <v>43996</v>
      </c>
    </row>
    <row r="144" spans="1:2">
      <c r="A144" s="7">
        <f t="shared" si="11"/>
        <v>43997</v>
      </c>
      <c r="B144" s="7">
        <f t="shared" si="9"/>
        <v>44003</v>
      </c>
    </row>
    <row r="145" spans="1:2">
      <c r="A145" s="7">
        <f t="shared" si="11"/>
        <v>44004</v>
      </c>
      <c r="B145" s="7">
        <f t="shared" ref="B145:B192" si="12">A145+6</f>
        <v>44010</v>
      </c>
    </row>
    <row r="146" spans="1:2">
      <c r="A146" s="7">
        <f t="shared" si="11"/>
        <v>44011</v>
      </c>
      <c r="B146" s="7">
        <f t="shared" si="12"/>
        <v>44017</v>
      </c>
    </row>
    <row r="147" spans="1:2">
      <c r="A147" s="7">
        <f t="shared" si="11"/>
        <v>44018</v>
      </c>
      <c r="B147" s="7">
        <f t="shared" si="12"/>
        <v>44024</v>
      </c>
    </row>
    <row r="148" spans="1:2">
      <c r="A148" s="7">
        <f t="shared" si="11"/>
        <v>44025</v>
      </c>
      <c r="B148" s="7">
        <f t="shared" si="12"/>
        <v>44031</v>
      </c>
    </row>
    <row r="149" spans="1:2">
      <c r="A149" s="7">
        <f t="shared" si="11"/>
        <v>44032</v>
      </c>
      <c r="B149" s="7">
        <f t="shared" si="12"/>
        <v>44038</v>
      </c>
    </row>
    <row r="150" spans="1:2">
      <c r="A150" s="7">
        <f t="shared" si="11"/>
        <v>44039</v>
      </c>
      <c r="B150" s="7">
        <f t="shared" si="12"/>
        <v>44045</v>
      </c>
    </row>
    <row r="151" spans="1:2">
      <c r="A151" s="7">
        <f t="shared" si="11"/>
        <v>44046</v>
      </c>
      <c r="B151" s="7">
        <f t="shared" si="12"/>
        <v>44052</v>
      </c>
    </row>
    <row r="152" spans="1:2">
      <c r="A152" s="7">
        <f t="shared" si="11"/>
        <v>44053</v>
      </c>
      <c r="B152" s="7">
        <f t="shared" si="12"/>
        <v>44059</v>
      </c>
    </row>
    <row r="153" spans="1:2">
      <c r="A153" s="7">
        <f t="shared" si="11"/>
        <v>44060</v>
      </c>
      <c r="B153" s="7">
        <f t="shared" si="12"/>
        <v>44066</v>
      </c>
    </row>
    <row r="154" spans="1:2">
      <c r="A154" s="7">
        <f t="shared" si="11"/>
        <v>44067</v>
      </c>
      <c r="B154" s="7">
        <f t="shared" si="12"/>
        <v>44073</v>
      </c>
    </row>
    <row r="155" spans="1:2">
      <c r="A155" s="7">
        <f t="shared" si="11"/>
        <v>44074</v>
      </c>
      <c r="B155" s="7">
        <f t="shared" si="12"/>
        <v>44080</v>
      </c>
    </row>
    <row r="156" spans="1:2">
      <c r="A156" s="7">
        <f t="shared" si="11"/>
        <v>44081</v>
      </c>
      <c r="B156" s="7">
        <f t="shared" si="12"/>
        <v>44087</v>
      </c>
    </row>
    <row r="157" spans="1:2">
      <c r="A157" s="7">
        <f t="shared" si="11"/>
        <v>44088</v>
      </c>
      <c r="B157" s="7">
        <f t="shared" si="12"/>
        <v>44094</v>
      </c>
    </row>
    <row r="158" spans="1:2">
      <c r="A158" s="7">
        <f t="shared" si="11"/>
        <v>44095</v>
      </c>
      <c r="B158" s="7">
        <f t="shared" si="12"/>
        <v>44101</v>
      </c>
    </row>
    <row r="159" spans="1:2">
      <c r="A159" s="7">
        <f t="shared" si="11"/>
        <v>44102</v>
      </c>
      <c r="B159" s="7">
        <f t="shared" si="12"/>
        <v>44108</v>
      </c>
    </row>
    <row r="160" spans="1:2">
      <c r="A160" s="7">
        <f t="shared" si="11"/>
        <v>44109</v>
      </c>
      <c r="B160" s="7">
        <f t="shared" si="12"/>
        <v>44115</v>
      </c>
    </row>
    <row r="161" spans="1:2">
      <c r="A161" s="7">
        <f t="shared" si="11"/>
        <v>44116</v>
      </c>
      <c r="B161" s="7">
        <f t="shared" si="12"/>
        <v>44122</v>
      </c>
    </row>
    <row r="162" spans="1:2">
      <c r="A162" s="7">
        <f t="shared" si="11"/>
        <v>44123</v>
      </c>
      <c r="B162" s="7">
        <f t="shared" si="12"/>
        <v>44129</v>
      </c>
    </row>
    <row r="163" spans="1:2">
      <c r="A163" s="7">
        <f t="shared" ref="A163:A192" si="13">A162+7</f>
        <v>44130</v>
      </c>
      <c r="B163" s="7">
        <f t="shared" si="12"/>
        <v>44136</v>
      </c>
    </row>
    <row r="164" spans="1:2">
      <c r="A164" s="7">
        <f t="shared" si="13"/>
        <v>44137</v>
      </c>
      <c r="B164" s="7">
        <f t="shared" si="12"/>
        <v>44143</v>
      </c>
    </row>
    <row r="165" spans="1:2">
      <c r="A165" s="7">
        <f t="shared" si="13"/>
        <v>44144</v>
      </c>
      <c r="B165" s="7">
        <f t="shared" si="12"/>
        <v>44150</v>
      </c>
    </row>
    <row r="166" spans="1:2">
      <c r="A166" s="7">
        <f t="shared" si="13"/>
        <v>44151</v>
      </c>
      <c r="B166" s="7">
        <f t="shared" si="12"/>
        <v>44157</v>
      </c>
    </row>
    <row r="167" spans="1:2">
      <c r="A167" s="7">
        <f t="shared" si="13"/>
        <v>44158</v>
      </c>
      <c r="B167" s="7">
        <f t="shared" si="12"/>
        <v>44164</v>
      </c>
    </row>
    <row r="168" spans="1:2">
      <c r="A168" s="7">
        <f t="shared" si="13"/>
        <v>44165</v>
      </c>
      <c r="B168" s="7">
        <f t="shared" si="12"/>
        <v>44171</v>
      </c>
    </row>
    <row r="169" spans="1:2">
      <c r="A169" s="7">
        <f t="shared" si="13"/>
        <v>44172</v>
      </c>
      <c r="B169" s="7">
        <f t="shared" si="12"/>
        <v>44178</v>
      </c>
    </row>
    <row r="170" spans="1:2">
      <c r="A170" s="7">
        <f t="shared" si="13"/>
        <v>44179</v>
      </c>
      <c r="B170" s="7">
        <f t="shared" si="12"/>
        <v>44185</v>
      </c>
    </row>
    <row r="171" spans="1:2">
      <c r="A171" s="7">
        <f t="shared" si="13"/>
        <v>44186</v>
      </c>
      <c r="B171" s="7">
        <f t="shared" si="12"/>
        <v>44192</v>
      </c>
    </row>
    <row r="172" spans="1:2">
      <c r="A172" s="7">
        <f t="shared" si="13"/>
        <v>44193</v>
      </c>
      <c r="B172" s="7">
        <f t="shared" si="12"/>
        <v>44199</v>
      </c>
    </row>
    <row r="173" spans="1:2">
      <c r="A173" s="7">
        <f t="shared" si="13"/>
        <v>44200</v>
      </c>
      <c r="B173" s="7">
        <f t="shared" si="12"/>
        <v>44206</v>
      </c>
    </row>
    <row r="174" spans="1:2">
      <c r="A174" s="7">
        <f t="shared" si="13"/>
        <v>44207</v>
      </c>
      <c r="B174" s="7">
        <f t="shared" si="12"/>
        <v>44213</v>
      </c>
    </row>
    <row r="175" spans="1:2">
      <c r="A175" s="7">
        <f t="shared" si="13"/>
        <v>44214</v>
      </c>
      <c r="B175" s="7">
        <f t="shared" si="12"/>
        <v>44220</v>
      </c>
    </row>
    <row r="176" spans="1:2">
      <c r="A176" s="7">
        <f t="shared" si="13"/>
        <v>44221</v>
      </c>
      <c r="B176" s="7">
        <f t="shared" si="12"/>
        <v>44227</v>
      </c>
    </row>
    <row r="177" spans="1:2">
      <c r="A177" s="7">
        <f t="shared" si="13"/>
        <v>44228</v>
      </c>
      <c r="B177" s="7">
        <f t="shared" si="12"/>
        <v>44234</v>
      </c>
    </row>
    <row r="178" spans="1:2">
      <c r="A178" s="7">
        <f t="shared" si="13"/>
        <v>44235</v>
      </c>
      <c r="B178" s="7">
        <f t="shared" si="12"/>
        <v>44241</v>
      </c>
    </row>
    <row r="179" spans="1:2">
      <c r="A179" s="7">
        <f t="shared" si="13"/>
        <v>44242</v>
      </c>
      <c r="B179" s="7">
        <f t="shared" si="12"/>
        <v>44248</v>
      </c>
    </row>
    <row r="180" spans="1:2">
      <c r="A180" s="7">
        <f t="shared" si="13"/>
        <v>44249</v>
      </c>
      <c r="B180" s="7">
        <f t="shared" si="12"/>
        <v>44255</v>
      </c>
    </row>
    <row r="181" spans="1:2">
      <c r="A181" s="7">
        <f t="shared" si="13"/>
        <v>44256</v>
      </c>
      <c r="B181" s="7">
        <f t="shared" si="12"/>
        <v>44262</v>
      </c>
    </row>
    <row r="182" spans="1:2">
      <c r="A182" s="7">
        <f t="shared" si="13"/>
        <v>44263</v>
      </c>
      <c r="B182" s="7">
        <f t="shared" si="12"/>
        <v>44269</v>
      </c>
    </row>
    <row r="183" spans="1:2">
      <c r="A183" s="7">
        <f t="shared" si="13"/>
        <v>44270</v>
      </c>
      <c r="B183" s="7">
        <f t="shared" si="12"/>
        <v>44276</v>
      </c>
    </row>
    <row r="184" spans="1:2">
      <c r="A184" s="7">
        <f t="shared" si="13"/>
        <v>44277</v>
      </c>
      <c r="B184" s="7">
        <f t="shared" si="12"/>
        <v>44283</v>
      </c>
    </row>
    <row r="185" spans="1:2">
      <c r="A185" s="7">
        <f t="shared" si="13"/>
        <v>44284</v>
      </c>
      <c r="B185" s="7">
        <f t="shared" si="12"/>
        <v>44290</v>
      </c>
    </row>
    <row r="186" spans="1:2">
      <c r="A186" s="7">
        <f t="shared" si="13"/>
        <v>44291</v>
      </c>
      <c r="B186" s="7">
        <f t="shared" si="12"/>
        <v>44297</v>
      </c>
    </row>
    <row r="187" spans="1:2">
      <c r="A187" s="7">
        <f t="shared" si="13"/>
        <v>44298</v>
      </c>
      <c r="B187" s="7">
        <f t="shared" si="12"/>
        <v>44304</v>
      </c>
    </row>
    <row r="188" spans="1:2">
      <c r="A188" s="7">
        <f t="shared" si="13"/>
        <v>44305</v>
      </c>
      <c r="B188" s="7">
        <f t="shared" si="12"/>
        <v>44311</v>
      </c>
    </row>
    <row r="189" spans="1:2">
      <c r="A189" s="7">
        <f t="shared" si="13"/>
        <v>44312</v>
      </c>
      <c r="B189" s="7">
        <f t="shared" si="12"/>
        <v>44318</v>
      </c>
    </row>
    <row r="190" spans="1:2">
      <c r="A190" s="7">
        <f t="shared" si="13"/>
        <v>44319</v>
      </c>
      <c r="B190" s="7">
        <f t="shared" si="12"/>
        <v>44325</v>
      </c>
    </row>
    <row r="191" spans="1:2">
      <c r="A191" s="7">
        <f t="shared" si="13"/>
        <v>44326</v>
      </c>
      <c r="B191" s="7">
        <f t="shared" si="12"/>
        <v>44332</v>
      </c>
    </row>
    <row r="192" spans="1:2">
      <c r="A192" s="7">
        <f t="shared" si="13"/>
        <v>44333</v>
      </c>
      <c r="B192" s="7">
        <f t="shared" si="12"/>
        <v>44339</v>
      </c>
    </row>
  </sheetData>
  <conditionalFormatting sqref="F28:F29">
    <cfRule type="duplicateValues" dxfId="0" priority="1"/>
  </conditionalFormatting>
  <pageMargins left="0.7" right="0.7" top="0.75" bottom="0.75" header="0.3" footer="0.3"/>
  <pageSetup orientation="portrait" r:id="rId1"/>
  <customProperties>
    <customPr name="_pios_id" r:id="rId2"/>
    <customPr name="EpmWorksheetKeyString_GUID" r:id="rId3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Application xmlns="http://www.sap.com/cof/excel/application">
  <Version>2</Version>
  <Revision>2.8.2200.1405</Revision>
</Application>
</file>

<file path=customXml/item3.xml>�� 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5.xml>�� 
</file>

<file path=customXml/item6.xml>�� 
</file>

<file path=customXml/item7.xml>�� 
</file>

<file path=customXml/item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535d9117-0402-4b9f-8f07-940e0b7e8f15">000001YVFZ</_dlc_DocId>
    <_dlc_DocIdUrl xmlns="535d9117-0402-4b9f-8f07-940e0b7e8f15">
      <Url>https://sharepoint.lamrc.net/dept/SOBD/OpEx/Corp/_layouts/15/DocIdRedir.aspx?ID=000001YVFZ</Url>
      <Description>000001YVFZ</Description>
    </_dlc_DocIdUrl>
  </documentManagement>
</p:properties>
</file>

<file path=customXml/item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8B6ED9BE053648841FDAFBF6592F1A" ma:contentTypeVersion="0" ma:contentTypeDescription="Create a new document." ma:contentTypeScope="" ma:versionID="564c9b87685a9b81a85361c120edcd8d">
  <xsd:schema xmlns:xsd="http://www.w3.org/2001/XMLSchema" xmlns:xs="http://www.w3.org/2001/XMLSchema" xmlns:p="http://schemas.microsoft.com/office/2006/metadata/properties" xmlns:ns2="535d9117-0402-4b9f-8f07-940e0b7e8f15" targetNamespace="http://schemas.microsoft.com/office/2006/metadata/properties" ma:root="true" ma:fieldsID="bdf20b91543b8de0042ca8ade8cd0ef6" ns2:_="">
    <xsd:import namespace="535d9117-0402-4b9f-8f07-940e0b7e8f15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5d9117-0402-4b9f-8f07-940e0b7e8f15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0.xml>�� 
</file>

<file path=customXml/itemProps1.xml><?xml version="1.0" encoding="utf-8"?>
<ds:datastoreItem xmlns:ds="http://schemas.openxmlformats.org/officeDocument/2006/customXml" ds:itemID="{F1EB7072-7B04-4ADC-B712-C6FF501C28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8E0070-75EE-4ADA-95A8-00FEAB0C3A23}">
  <ds:schemaRefs>
    <ds:schemaRef ds:uri="http://www.sap.com/cof/excel/application"/>
  </ds:schemaRefs>
</ds:datastoreItem>
</file>

<file path=customXml/itemProps3.xml><?xml version="1.0" encoding="utf-8"?>
<ds:datastoreItem xmlns:ds="http://schemas.openxmlformats.org/officeDocument/2006/customXml" ds:itemID="{1C4DD55D-8767-4850-9CC2-B6261D50792D}">
  <ds:schemaRefs/>
</ds:datastoreItem>
</file>

<file path=customXml/itemProps4.xml><?xml version="1.0" encoding="utf-8"?>
<ds:datastoreItem xmlns:ds="http://schemas.openxmlformats.org/officeDocument/2006/customXml" ds:itemID="{127C64BC-55B3-473E-86FD-D9BDC1A7B9BC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A08A6469-001C-458C-B762-95D9CC8E82A2}">
  <ds:schemaRefs/>
</ds:datastoreItem>
</file>

<file path=customXml/itemProps6.xml><?xml version="1.0" encoding="utf-8"?>
<ds:datastoreItem xmlns:ds="http://schemas.openxmlformats.org/officeDocument/2006/customXml" ds:itemID="{19968E43-0627-4B8E-B520-ACD51ABF3750}">
  <ds:schemaRefs/>
</ds:datastoreItem>
</file>

<file path=customXml/itemProps7.xml><?xml version="1.0" encoding="utf-8"?>
<ds:datastoreItem xmlns:ds="http://schemas.openxmlformats.org/officeDocument/2006/customXml" ds:itemID="{18586BD0-38DE-4AC5-BE1A-E7875A18252A}">
  <ds:schemaRefs/>
</ds:datastoreItem>
</file>

<file path=customXml/itemProps8.xml><?xml version="1.0" encoding="utf-8"?>
<ds:datastoreItem xmlns:ds="http://schemas.openxmlformats.org/officeDocument/2006/customXml" ds:itemID="{4A553721-24FE-4946-B7CE-F85DC1ABDC40}">
  <ds:schemaRefs>
    <ds:schemaRef ds:uri="http://purl.org/dc/terms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535d9117-0402-4b9f-8f07-940e0b7e8f15"/>
    <ds:schemaRef ds:uri="http://purl.org/dc/elements/1.1/"/>
  </ds:schemaRefs>
</ds:datastoreItem>
</file>

<file path=customXml/itemProps9.xml><?xml version="1.0" encoding="utf-8"?>
<ds:datastoreItem xmlns:ds="http://schemas.openxmlformats.org/officeDocument/2006/customXml" ds:itemID="{97369180-D3B0-448D-87B0-38D9117583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5d9117-0402-4b9f-8f07-940e0b7e8f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0.xml><?xml version="1.0" encoding="utf-8"?>
<ds:datastoreItem xmlns:ds="http://schemas.openxmlformats.org/officeDocument/2006/customXml" ds:itemID="{5AC0F0E0-3EC0-44A8-91A0-FA1C4BE9A4EF}">
  <ds:schemaRefs/>
</ds:datastoreItem>
</file>

<file path=docMetadata/LabelInfo.xml><?xml version="1.0" encoding="utf-8"?>
<clbl:labelList xmlns:clbl="http://schemas.microsoft.com/office/2020/mipLabelMetadata">
  <clbl:label id="{bb5ccd26-b974-47bb-a9af-471d10e6b790}" enabled="1" method="Privileged" siteId="{918079db-c902-4e29-b22c-9764410d0375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Reviewed CTL Archive</vt:lpstr>
      <vt:lpstr>CTL BOBJ</vt:lpstr>
      <vt:lpstr>Lookup</vt:lpstr>
      <vt:lpstr>SAPCrosstab1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Long, Runqi (Kyra)</dc:creator>
  <cp:lastModifiedBy>Syna Mu</cp:lastModifiedBy>
  <cp:lastPrinted>2018-05-25T18:00:50Z</cp:lastPrinted>
  <dcterms:created xsi:type="dcterms:W3CDTF">2017-06-28T23:19:29Z</dcterms:created>
  <dcterms:modified xsi:type="dcterms:W3CDTF">2026-10-28T14:24:25Z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0x010100D68B6ED9BE053648841FDAFBF6592F1A</vt:lpwstr>
  </property>
  <property fmtid="{D5CDD505-2E9C-101B-9397-08002B2CF9AE}" pid="3" name="_dlc_DocIdItemGuid">
    <vt:lpwstr>2bb6c0eb-a2cb-40f2-bb35-ca6c6e539922</vt:lpwstr>
  </property>
  <property fmtid="{D5CDD505-2E9C-101B-9397-08002B2CF9AE}" pid="4" name="CustomUiType">
    <vt:lpwstr>2</vt:lpwstr>
  </property>
</Properties>
</file>